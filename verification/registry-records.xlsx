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dff8ff69eb440c8" /></Relationships>
</file>

<file path=xl/workbook.xml><?xml version="1.0" encoding="utf-8"?>
<x:workbook xmlns:x="http://schemas.openxmlformats.org/spreadsheetml/2006/main">
  <x:sheets>
    <x:sheet xmlns:r="http://schemas.openxmlformats.org/officeDocument/2006/relationships" name="S0 Registry Verification" sheetId="3" r:id="R39c28c82b80941be"/>
    <x:sheet xmlns:r="http://schemas.openxmlformats.org/officeDocument/2006/relationships" name="S0 Registry Executions" sheetId="4" r:id="Rde43d8fb5bab4cc9"/>
  </x:sheets>
</x:workbook>
</file>

<file path=xl/sharedStrings.xml><?xml version="1.0" encoding="utf-8"?>
<x:sst xmlns:x="http://schemas.openxmlformats.org/spreadsheetml/2006/main">
  <x:si>
    <x:t xml:space="preserve">S0 REGISTRY — QC EXCLUSION VERIFICATION</x:t>
  </x:si>
  <x:si>
    <x:t xml:space="preserve">Population</x:t>
  </x:si>
  <x:si>
    <x:t xml:space="preserve">Evidence Attachment</x:t>
  </x:si>
  <x:si>
    <x:t xml:space="preserve">Qualifying</x:t>
  </x:si>
  <x:si>
    <x:t xml:space="preserve">Excluded</x:t>
  </x:si>
  <x:si>
    <x:t xml:space="preserve">Attempts</x:t>
  </x:si>
  <x:si>
    <x:t xml:space="preserve">Exclusion Rate</x:t>
  </x:si>
  <x:si>
    <x:t xml:space="preserve">Representation</x:t>
  </x:si>
  <x:si>
    <x:t xml:space="preserve">Observed exclusion rate</x:t>
  </x:si>
  <x:si>
    <x:t xml:space="preserve">Scope</x:t>
  </x:si>
  <x:si>
    <x:t xml:space="preserve">No Table</x:t>
  </x:si>
  <x:si>
    <x:t xml:space="preserve">LOOCV0 + OPVAL</x:t>
  </x:si>
  <x:si>
    <x:t xml:space="preserve">Table</x:t>
  </x:si>
  <x:si>
    <x:t xml:space="preserve">Total registry attempts</x:t>
  </x:si>
  <x:si>
    <x:t xml:space="preserve">Lineage-only</x:t>
  </x:si>
  <x:si>
    <x:t xml:space="preserve">Distinct Cell IDs</x:t>
  </x:si>
  <x:si>
    <x:t xml:space="preserve">Comparison attempts</x:t>
  </x:si>
  <x:si>
    <x:t xml:space="preserve">Record ID</x:t>
  </x:si>
  <x:si>
    <x:t xml:space="preserve">Cell ID</x:t>
  </x:si>
  <x:si>
    <x:t xml:space="preserve">Cohort Year</x:t>
  </x:si>
  <x:si>
    <x:t xml:space="preserve">Property ID</x:t>
  </x:si>
  <x:si>
    <x:t xml:space="preserve">Property</x:t>
  </x:si>
  <x:si>
    <x:t xml:space="preserve">Official Slot</x:t>
  </x:si>
  <x:si>
    <x:t xml:space="preserve">Run</x:t>
  </x:si>
  <x:si>
    <x:t xml:space="preserve">I</x:t>
  </x:si>
  <x:si>
    <x:t xml:space="preserve">F</x:t>
  </x:si>
  <x:si>
    <x:t xml:space="preserve">Y</x:t>
  </x:si>
  <x:si>
    <x:t xml:space="preserve">Official?</x:t>
  </x:si>
  <x:si>
    <x:t xml:space="preserve">Run Type</x:t>
  </x:si>
  <x:si>
    <x:t xml:space="preserve">QC Disposition</x:t>
  </x:si>
  <x:si>
    <x:t xml:space="preserve">Replacement For</x:t>
  </x:si>
  <x:si>
    <x:t xml:space="preserve">Replacement Child</x:t>
  </x:si>
  <x:si>
    <x:t xml:space="preserve">QC Note</x:t>
  </x:si>
  <x:si>
    <x:t xml:space="preserve">Record Completeness</x:t>
  </x:si>
  <x:si>
    <x:t xml:space="preserve">LOOCV0-P1-S0-NT-E001</x:t>
  </x:si>
  <x:si>
    <x:t xml:space="preserve">LOOCV0-P1-S0-NT</x:t>
  </x:si>
  <x:si>
    <x:t xml:space="preserve">LOOCV0</x:t>
  </x:si>
  <x:si>
    <x:t xml:space="preserve">P1</x:t>
  </x:si>
  <x:si>
    <x:t xml:space="preserve">109 Patrick Mill Circle</x:t>
  </x:si>
  <x:si>
    <x:t xml:space="preserve">No</x:t>
  </x:si>
  <x:si>
    <x:t xml:space="preserve">Original</x:t>
  </x:si>
  <x:si>
    <x:t xml:space="preserve">EXCLUDE</x:t>
  </x:si>
  <x:si>
    <x:t xml:space="preserve">Historical displaced execution inferred from replacement lineage; ER-native outputs not present on authoritative official ledger.</x:t>
  </x:si>
  <x:si>
    <x:t xml:space="preserve">Lineage only</x:t>
  </x:si>
  <x:si>
    <x:t xml:space="preserve">LOOCV0-P1-S0-NT-E002</x:t>
  </x:si>
  <x:si>
    <x:t xml:space="preserve">Yes</x:t>
  </x:si>
  <x:si>
    <x:t xml:space="preserve">QUALIFY</x:t>
  </x:si>
  <x:si>
    <x:t xml:space="preserve">Full ledger row</x:t>
  </x:si>
  <x:si>
    <x:t xml:space="preserve">LOOCV0-P1-S0-NT-E003</x:t>
  </x:si>
  <x:si>
    <x:t xml:space="preserve">LOOCV0-P1-S0-NT-E004</x:t>
  </x:si>
  <x:si>
    <x:t xml:space="preserve">LOOCV0-P1-S0-NT-E005</x:t>
  </x:si>
  <x:si>
    <x:t xml:space="preserve">LOOCV0-P1-S0-NT-E006</x:t>
  </x:si>
  <x:si>
    <x:t xml:space="preserve">LOOCV0-P1-S0-NT-E007</x:t>
  </x:si>
  <x:si>
    <x:t xml:space="preserve">LOOCV0-P1-S0-NT-E008</x:t>
  </x:si>
  <x:si>
    <x:t xml:space="preserve">LOOCV0-P1-S0-NT-E009</x:t>
  </x:si>
  <x:si>
    <x:t xml:space="preserve">LOOCV0-P1-S0-NT-E010</x:t>
  </x:si>
  <x:si>
    <x:t xml:space="preserve">LOOCV0-P1-S0-NT-E011</x:t>
  </x:si>
  <x:si>
    <x:t xml:space="preserve">Replacement</x:t>
  </x:si>
  <x:si>
    <x:t xml:space="preserve">LOOCV0-P1-S0-NT-E012</x:t>
  </x:si>
  <x:si>
    <x:t xml:space="preserve">LOOCV0-P2-S0-NT-E001</x:t>
  </x:si>
  <x:si>
    <x:t xml:space="preserve">LOOCV0-P2-S0-NT</x:t>
  </x:si>
  <x:si>
    <x:t xml:space="preserve">P2</x:t>
  </x:si>
  <x:si>
    <x:t xml:space="preserve">265 Patrick Mill Circle</x:t>
  </x:si>
  <x:si>
    <x:t xml:space="preserve">LOOCV0-P2-S0-NT-E002</x:t>
  </x:si>
  <x:si>
    <x:t xml:space="preserve">LOOCV0-P2-S0-NT-E003</x:t>
  </x:si>
  <x:si>
    <x:t xml:space="preserve">LOOCV0-P2-S0-NT-E004</x:t>
  </x:si>
  <x:si>
    <x:t xml:space="preserve">LOOCV0-P2-S0-NT-E005</x:t>
  </x:si>
  <x:si>
    <x:t xml:space="preserve">LOOCV0-P2-S0-NT-E006</x:t>
  </x:si>
  <x:si>
    <x:t xml:space="preserve">LOOCV0-P2-S0-NT-E007</x:t>
  </x:si>
  <x:si>
    <x:t xml:space="preserve">LOOCV0-P2-S0-NT-E008</x:t>
  </x:si>
  <x:si>
    <x:t xml:space="preserve">LOOCV0-P2-S0-NT-E009</x:t>
  </x:si>
  <x:si>
    <x:t xml:space="preserve">LOOCV0-P2-S0-NT-E010</x:t>
  </x:si>
  <x:si>
    <x:t xml:space="preserve">LOOCV0-P3-S0-NT-E001</x:t>
  </x:si>
  <x:si>
    <x:t xml:space="preserve">LOOCV0-P3-S0-NT</x:t>
  </x:si>
  <x:si>
    <x:t xml:space="preserve">P3</x:t>
  </x:si>
  <x:si>
    <x:t xml:space="preserve">149 Seaside Circle</x:t>
  </x:si>
  <x:si>
    <x:t xml:space="preserve">LOOCV0-P3-S0-NT-E002</x:t>
  </x:si>
  <x:si>
    <x:t xml:space="preserve">LOOCV0-P3-S0-NT-E003</x:t>
  </x:si>
  <x:si>
    <x:t xml:space="preserve">LOOCV0-P3-S0-NT-E004</x:t>
  </x:si>
  <x:si>
    <x:t xml:space="preserve">LOOCV0-P3-S0-NT-E005</x:t>
  </x:si>
  <x:si>
    <x:t xml:space="preserve">QUALIFY — FLAG</x:t>
  </x:si>
  <x:si>
    <x:t xml:space="preserve">Minor Subject construction-year discrepancy; retained by QC.</x:t>
  </x:si>
  <x:si>
    <x:t xml:space="preserve">LOOCV0-P3-S0-NT-E006</x:t>
  </x:si>
  <x:si>
    <x:t xml:space="preserve">LOOCV0-P3-S0-NT-E007</x:t>
  </x:si>
  <x:si>
    <x:t xml:space="preserve">LOOCV0-P3-S0-NT-E008</x:t>
  </x:si>
  <x:si>
    <x:t xml:space="preserve">LOOCV0-P3-S0-NT-E009</x:t>
  </x:si>
  <x:si>
    <x:t xml:space="preserve">LOOCV0-P3-S0-NT-E010</x:t>
  </x:si>
  <x:si>
    <x:t xml:space="preserve">LOOCV0-P4-S0-NT-E001</x:t>
  </x:si>
  <x:si>
    <x:t xml:space="preserve">LOOCV0-P4-S0-NT</x:t>
  </x:si>
  <x:si>
    <x:t xml:space="preserve">P4</x:t>
  </x:si>
  <x:si>
    <x:t xml:space="preserve">216 Crosstern Court</x:t>
  </x:si>
  <x:si>
    <x:t xml:space="preserve">LOOCV0-P4-S0-NT-E002</x:t>
  </x:si>
  <x:si>
    <x:t xml:space="preserve">LOOCV0-P4-S0-NT-E003</x:t>
  </x:si>
  <x:si>
    <x:t xml:space="preserve">LOOCV0-P4-S0-NT-E004</x:t>
  </x:si>
  <x:si>
    <x:t xml:space="preserve">LOOCV0-P4-S0-NT-E005</x:t>
  </x:si>
  <x:si>
    <x:t xml:space="preserve">LOOCV0-P4-S0-NT-E006</x:t>
  </x:si>
  <x:si>
    <x:t xml:space="preserve">LOOCV0-P4-S0-NT-E007</x:t>
  </x:si>
  <x:si>
    <x:t xml:space="preserve">LOOCV0-P4-S0-NT-E008</x:t>
  </x:si>
  <x:si>
    <x:t xml:space="preserve">LOOCV0-P4-S0-NT-E009</x:t>
  </x:si>
  <x:si>
    <x:t xml:space="preserve">LOOCV0-P4-S0-NT-E010</x:t>
  </x:si>
  <x:si>
    <x:t xml:space="preserve">LOOCV0-P5-S0-NT-E001</x:t>
  </x:si>
  <x:si>
    <x:t xml:space="preserve">LOOCV0-P5-S0-NT</x:t>
  </x:si>
  <x:si>
    <x:t xml:space="preserve">P5</x:t>
  </x:si>
  <x:si>
    <x:t xml:space="preserve">161 Crossroad Lakes Drive</x:t>
  </x:si>
  <x:si>
    <x:t xml:space="preserve">LOOCV0-P5-S0-NT-E002</x:t>
  </x:si>
  <x:si>
    <x:t xml:space="preserve">LOOCV0-P5-S0-NT-E003</x:t>
  </x:si>
  <x:si>
    <x:t xml:space="preserve">LOOCV0-P5-S0-NT-E004</x:t>
  </x:si>
  <x:si>
    <x:t xml:space="preserve">LOOCV0-P5-S0-NT-E005</x:t>
  </x:si>
  <x:si>
    <x:t xml:space="preserve">LOOCV0-P5-S0-NT-E006</x:t>
  </x:si>
  <x:si>
    <x:t xml:space="preserve">LOOCV0-P5-S0-NT-E007</x:t>
  </x:si>
  <x:si>
    <x:t xml:space="preserve">LOOCV0-P5-S0-NT-E008</x:t>
  </x:si>
  <x:si>
    <x:t xml:space="preserve">LOOCV0-P5-S0-NT-E009</x:t>
  </x:si>
  <x:si>
    <x:t xml:space="preserve">Multiple comparable-property field discrepancies; retained by QC.</x:t>
  </x:si>
  <x:si>
    <x:t xml:space="preserve">LOOCV0-P5-S0-NT-E010</x:t>
  </x:si>
  <x:si>
    <x:t xml:space="preserve">LOOCV0-P5-S0-NT-E011</x:t>
  </x:si>
  <x:si>
    <x:t xml:space="preserve">LOOCV0-P5-S0-NT-E012</x:t>
  </x:si>
  <x:si>
    <x:t xml:space="preserve">LOOCV0-P6-S0-NT-E001</x:t>
  </x:si>
  <x:si>
    <x:t xml:space="preserve">LOOCV0-P6-S0-NT</x:t>
  </x:si>
  <x:si>
    <x:t xml:space="preserve">P6</x:t>
  </x:si>
  <x:si>
    <x:t xml:space="preserve">144 Crosstide Circle</x:t>
  </x:si>
  <x:si>
    <x:t xml:space="preserve">LOOCV0-P6-S0-NT-E002</x:t>
  </x:si>
  <x:si>
    <x:t xml:space="preserve">Subject living-area discrepancy; retained by QC.</x:t>
  </x:si>
  <x:si>
    <x:t xml:space="preserve">LOOCV0-P6-S0-NT-E003</x:t>
  </x:si>
  <x:si>
    <x:t xml:space="preserve">LOOCV0-P6-S0-NT-E004</x:t>
  </x:si>
  <x:si>
    <x:t xml:space="preserve">Comparable-property field discrepancies; retained by QC.</x:t>
  </x:si>
  <x:si>
    <x:t xml:space="preserve">LOOCV0-P6-S0-NT-E005</x:t>
  </x:si>
  <x:si>
    <x:t xml:space="preserve">LOOCV0-P6-S0-NT-E006</x:t>
  </x:si>
  <x:si>
    <x:t xml:space="preserve">LOOCV0-P6-S0-NT-E007</x:t>
  </x:si>
  <x:si>
    <x:t xml:space="preserve">Comparable waterfront-status description discrepancy; retained by QC.</x:t>
  </x:si>
  <x:si>
    <x:t xml:space="preserve">LOOCV0-P6-S0-NT-E008</x:t>
  </x:si>
  <x:si>
    <x:t xml:space="preserve">LOOCV0-P6-S0-NT-E009</x:t>
  </x:si>
  <x:si>
    <x:t xml:space="preserve">LOOCV0-P6-S0-NT-E010</x:t>
  </x:si>
  <x:si>
    <x:t xml:space="preserve">LOOCV0-P7-S0-NT-E001</x:t>
  </x:si>
  <x:si>
    <x:t xml:space="preserve">LOOCV0-P7-S0-NT</x:t>
  </x:si>
  <x:si>
    <x:t xml:space="preserve">P7</x:t>
  </x:si>
  <x:si>
    <x:t xml:space="preserve">145 Crossroad Lakes Drive</x:t>
  </x:si>
  <x:si>
    <x:t xml:space="preserve">Comparable-property living-area discrepancies; retained by QC.</x:t>
  </x:si>
  <x:si>
    <x:t xml:space="preserve">LOOCV0-P7-S0-NT-E002</x:t>
  </x:si>
  <x:si>
    <x:t xml:space="preserve">LOOCV0-P7-S0-NT-E003</x:t>
  </x:si>
  <x:si>
    <x:t xml:space="preserve">LOOCV0-P7-S0-NT-E004</x:t>
  </x:si>
  <x:si>
    <x:t xml:space="preserve">LOOCV0-P7-S0-NT-E005</x:t>
  </x:si>
  <x:si>
    <x:t xml:space="preserve">LOOCV0-P7-S0-NT-E006</x:t>
  </x:si>
  <x:si>
    <x:t xml:space="preserve">LOOCV0-P7-S0-NT-E007</x:t>
  </x:si>
  <x:si>
    <x:t xml:space="preserve">LOOCV0-P7-S0-NT-E008</x:t>
  </x:si>
  <x:si>
    <x:t xml:space="preserve">LOOCV0-P7-S0-NT-E009</x:t>
  </x:si>
  <x:si>
    <x:t xml:space="preserve">LOOCV0-P7-S0-NT-E010</x:t>
  </x:si>
  <x:si>
    <x:t xml:space="preserve">LOOCV0-P7-S0-NT-E011</x:t>
  </x:si>
  <x:si>
    <x:t xml:space="preserve">LOOCV0-P7-S0-NT-E012</x:t>
  </x:si>
  <x:si>
    <x:t xml:space="preserve">LOOCV0-P8-S0-NT-E001</x:t>
  </x:si>
  <x:si>
    <x:t xml:space="preserve">LOOCV0-P8-S0-NT</x:t>
  </x:si>
  <x:si>
    <x:t xml:space="preserve">P8</x:t>
  </x:si>
  <x:si>
    <x:t xml:space="preserve">140 Crosscove Circle</x:t>
  </x:si>
  <x:si>
    <x:t xml:space="preserve">LOOCV0-P8-S0-NT-E002</x:t>
  </x:si>
  <x:si>
    <x:t xml:space="preserve">LOOCV0-P8-S0-NT-E003</x:t>
  </x:si>
  <x:si>
    <x:t xml:space="preserve">LOOCV0-P8-S0-NT-E004</x:t>
  </x:si>
  <x:si>
    <x:t xml:space="preserve">LOOCV0-P8-S0-NT-E005</x:t>
  </x:si>
  <x:si>
    <x:t xml:space="preserve">LOOCV0-P8-S0-NT-E006</x:t>
  </x:si>
  <x:si>
    <x:t xml:space="preserve">LOOCV0-P8-S0-NT-E007</x:t>
  </x:si>
  <x:si>
    <x:t xml:space="preserve">LOOCV0-P8-S0-NT-E008</x:t>
  </x:si>
  <x:si>
    <x:t xml:space="preserve">LOOCV0-P8-S0-NT-E009</x:t>
  </x:si>
  <x:si>
    <x:t xml:space="preserve">LOOCV0-P8-S0-NT-E010</x:t>
  </x:si>
  <x:si>
    <x:t xml:space="preserve">LOOCV0-P8-S0-NT-E011</x:t>
  </x:si>
  <x:si>
    <x:t xml:space="preserve">LOOCV0-P8-S0-NT-E012</x:t>
  </x:si>
  <x:si>
    <x:t xml:space="preserve">LOOCV0-P9-S0-NT-E001</x:t>
  </x:si>
  <x:si>
    <x:t xml:space="preserve">LOOCV0-P9-S0-NT</x:t>
  </x:si>
  <x:si>
    <x:t xml:space="preserve">P9</x:t>
  </x:si>
  <x:si>
    <x:t xml:space="preserve">104 Seaside Circle</x:t>
  </x:si>
  <x:si>
    <x:t xml:space="preserve">LOOCV0-P9-S0-NT-E002</x:t>
  </x:si>
  <x:si>
    <x:t xml:space="preserve">LOOCV0-P9-S0-NT-E003</x:t>
  </x:si>
  <x:si>
    <x:t xml:space="preserve">Comparable waterfront-status discrepancy; retained by QC.</x:t>
  </x:si>
  <x:si>
    <x:t xml:space="preserve">LOOCV0-P9-S0-NT-E004</x:t>
  </x:si>
  <x:si>
    <x:t xml:space="preserve">Multiple comparable living-area discrepancies; retained by QC.</x:t>
  </x:si>
  <x:si>
    <x:t xml:space="preserve">LOOCV0-P9-S0-NT-E005</x:t>
  </x:si>
  <x:si>
    <x:t xml:space="preserve">LOOCV0-P9-S0-NT-E006</x:t>
  </x:si>
  <x:si>
    <x:t xml:space="preserve">LOOCV0-P9-S0-NT-E007</x:t>
  </x:si>
  <x:si>
    <x:t xml:space="preserve">LOOCV0-P9-S0-NT-E008</x:t>
  </x:si>
  <x:si>
    <x:t xml:space="preserve">Comparable living-area discrepancies; retained by QC.</x:t>
  </x:si>
  <x:si>
    <x:t xml:space="preserve">LOOCV0-P9-S0-NT-E009</x:t>
  </x:si>
  <x:si>
    <x:t xml:space="preserve">LOOCV0-P9-S0-NT-E010</x:t>
  </x:si>
  <x:si>
    <x:t xml:space="preserve">LOOCV0-P9-S0-NT-E011</x:t>
  </x:si>
  <x:si>
    <x:t xml:space="preserve">LOOCV0-P1-S0-T-E001</x:t>
  </x:si>
  <x:si>
    <x:t xml:space="preserve">LOOCV0-P1-S0-T</x:t>
  </x:si>
  <x:si>
    <x:t xml:space="preserve">No material QC issue identified.</x:t>
  </x:si>
  <x:si>
    <x:t xml:space="preserve">LOOCV0-P1-S0-T-E002</x:t>
  </x:si>
  <x:si>
    <x:t xml:space="preserve">Generated out of established rotational sequence; excluded solely on process-...</x:t>
  </x:si>
  <x:si>
    <x:t xml:space="preserve">LOOCV0-P1-S0-T-E004</x:t>
  </x:si>
  <x:si>
    <x:t xml:space="preserve">LOOCV0-P1-S0-T-E005</x:t>
  </x:si>
  <x:si>
    <x:t xml:space="preserve">LOOCV0-P1-S0-T-E006</x:t>
  </x:si>
  <x:si>
    <x:t xml:space="preserve">LOOCV0-P1-S0-T-E007</x:t>
  </x:si>
  <x:si>
    <x:t xml:space="preserve">Excluded because the Decision Function removed P2/P3 from the primary valuation based on transaction chronology, materially altering the supplied LOOCV0 evidence surface. Exclusion is process/state based, not numerical-result based.</x:t>
  </x:si>
  <x:si>
    <x:t xml:space="preserve">LOOCV0-P1-S0-T-E009</x:t>
  </x:si>
  <x:si>
    <x:t xml:space="preserve">LOOCV0-P1-S0-T-E010</x:t>
  </x:si>
  <x:si>
    <x:t xml:space="preserve">LOOCV0-P1-S0-T-E011</x:t>
  </x:si>
  <x:si>
    <x:t xml:space="preserve">LOOCV0-P1-S0-T-E012</x:t>
  </x:si>
  <x:si>
    <x:t xml:space="preserve">LOOCV0-P1-S0-T-E003</x:t>
  </x:si>
  <x:si>
    <x:t xml:space="preserve">Replacement execution for excluded Run 2; generated to restore official n=10 ...</x:t>
  </x:si>
  <x:si>
    <x:t xml:space="preserve">LOOCV0-P1-S0-T-E008</x:t>
  </x:si>
  <x:si>
    <x:t xml:space="preserve">Replacement execution for excluded Run 6; generated after QC determination that Run 6 materially altered the supplied evidence surface by excluding P2/P3. Restores official n=10 ensemble membership.</x:t>
  </x:si>
  <x:si>
    <x:t xml:space="preserve">LOOCV0-P2-S0-T-E001</x:t>
  </x:si>
  <x:si>
    <x:t xml:space="preserve">LOOCV0-P2-S0-T</x:t>
  </x:si>
  <x:si>
    <x:t xml:space="preserve">Input table contains stray S2 wording in calculation note; QC found no materi...</x:t>
  </x:si>
  <x:si>
    <x:t xml:space="preserve">LOOCV0-P2-S0-T-E002</x:t>
  </x:si>
  <x:si>
    <x:t xml:space="preserve">LOOCV0-P2-S0-T-E003</x:t>
  </x:si>
  <x:si>
    <x:t xml:space="preserve">LOOCV0-P2-S0-T-E004</x:t>
  </x:si>
  <x:si>
    <x:t xml:space="preserve">LOOCV0-P2-S0-T-E005</x:t>
  </x:si>
  <x:si>
    <x:t xml:space="preserve">LOOCV0-P2-S0-T-E006</x:t>
  </x:si>
  <x:si>
    <x:t xml:space="preserve">LOOCV0-P2-S0-T-E007</x:t>
  </x:si>
  <x:si>
    <x:t xml:space="preserve">LOOCV0-P2-S0-T-E008</x:t>
  </x:si>
  <x:si>
    <x:t xml:space="preserve">LOOCV0-P2-S0-T-E009</x:t>
  </x:si>
  <x:si>
    <x:t xml:space="preserve">LOOCV0-P2-S0-T-E010</x:t>
  </x:si>
  <x:si>
    <x:t xml:space="preserve">LOOCV0-P3-S0-T-E006</x:t>
  </x:si>
  <x:si>
    <x:t xml:space="preserve">LOOCV0-P3-S0-T</x:t>
  </x:si>
  <x:si>
    <x:t xml:space="preserve">Official analytical row</x:t>
  </x:si>
  <x:si>
    <x:t xml:space="preserve">LOOCV0-P3-S0-T-E007</x:t>
  </x:si>
  <x:si>
    <x:t xml:space="preserve">LOOCV0-P3-S0-T-E008</x:t>
  </x:si>
  <x:si>
    <x:t xml:space="preserve">LOOCV0-P3-S0-T-E009</x:t>
  </x:si>
  <x:si>
    <x:t xml:space="preserve">LOOCV0-P3-S0-T-E010</x:t>
  </x:si>
  <x:si>
    <x:t xml:space="preserve">LOOCV0-P3-S0-T-E011</x:t>
  </x:si>
  <x:si>
    <x:t xml:space="preserve">LOOCV0-P3-S0-T-E012</x:t>
  </x:si>
  <x:si>
    <x:t xml:space="preserve">LOOCV0-P3-S0-T-E001</x:t>
  </x:si>
  <x:si>
    <x:t xml:space="preserve">Displaced by Run 51</x:t>
  </x:si>
  <x:si>
    <x:t xml:space="preserve">LOOCV0-P3-S0-T-E014</x:t>
  </x:si>
  <x:si>
    <x:t xml:space="preserve">LOOCV0-P3-S0-T-E015</x:t>
  </x:si>
  <x:si>
    <x:t xml:space="preserve">LOOCV0-P3-S0-T-E013</x:t>
  </x:si>
  <x:si>
    <x:t xml:space="preserve">Run 51 replaces process-control Run 8.</x:t>
  </x:si>
  <x:si>
    <x:t xml:space="preserve">LOOCV0-P4-S0-T-E001</x:t>
  </x:si>
  <x:si>
    <x:t xml:space="preserve">LOOCV0-P4-S0-T</x:t>
  </x:si>
  <x:si>
    <x:t xml:space="preserve">LOOCV0-P4-S0-T-E002</x:t>
  </x:si>
  <x:si>
    <x:t xml:space="preserve">LOOCV0-P4-S0-T-E003</x:t>
  </x:si>
  <x:si>
    <x:t xml:space="preserve">LOOCV0-P4-S0-T-E004</x:t>
  </x:si>
  <x:si>
    <x:t xml:space="preserve">LOOCV0-P4-S0-T-E005</x:t>
  </x:si>
  <x:si>
    <x:t xml:space="preserve">LOOCV0-P4-S0-T-E006</x:t>
  </x:si>
  <x:si>
    <x:t xml:space="preserve">LOOCV0-P4-S0-T-E007</x:t>
  </x:si>
  <x:si>
    <x:t xml:space="preserve">LOOCV0-P4-S0-T-E008</x:t>
  </x:si>
  <x:si>
    <x:t xml:space="preserve">LOOCV0-P4-S0-T-E009</x:t>
  </x:si>
  <x:si>
    <x:t xml:space="preserve">LOOCV0-P4-S0-T-E010</x:t>
  </x:si>
  <x:si>
    <x:t xml:space="preserve">LOOCV0-P5-S0-T-E001</x:t>
  </x:si>
  <x:si>
    <x:t xml:space="preserve">LOOCV0-P5-S0-T</x:t>
  </x:si>
  <x:si>
    <x:t xml:space="preserve">Input table contains stray S2 wording in calculation note; QC found no material propagation into the S0 reconstruction. All supplied LOOCV0 completed-sale evidence retained/used; no P1-style temporal exclusion identified.</x:t>
  </x:si>
  <x:si>
    <x:t xml:space="preserve">LOOCV0-P5-S0-T-E002</x:t>
  </x:si>
  <x:si>
    <x:t xml:space="preserve">LOOCV0-P5-S0-T-E003</x:t>
  </x:si>
  <x:si>
    <x:t xml:space="preserve">LOOCV0-P5-S0-T-E004</x:t>
  </x:si>
  <x:si>
    <x:t xml:space="preserve">LOOCV0-P5-S0-T-E005</x:t>
  </x:si>
  <x:si>
    <x:t xml:space="preserve">LOOCV0-P5-S0-T-E006</x:t>
  </x:si>
  <x:si>
    <x:t xml:space="preserve">LOOCV0-P5-S0-T-E007</x:t>
  </x:si>
  <x:si>
    <x:t xml:space="preserve">LOOCV0-P5-S0-T-E008</x:t>
  </x:si>
  <x:si>
    <x:t xml:space="preserve">LOOCV0-P5-S0-T-E009</x:t>
  </x:si>
  <x:si>
    <x:t xml:space="preserve">LOOCV0-P5-S0-T-E010</x:t>
  </x:si>
  <x:si>
    <x:t xml:space="preserve">LOOCV0-P6-S0-T-E001</x:t>
  </x:si>
  <x:si>
    <x:t xml:space="preserve">LOOCV0-P6-S0-T</x:t>
  </x:si>
  <x:si>
    <x:t xml:space="preserve">LOOCV0-P6-S0-T-E002</x:t>
  </x:si>
  <x:si>
    <x:t xml:space="preserve">LOOCV0-P6-S0-T-E003</x:t>
  </x:si>
  <x:si>
    <x:t xml:space="preserve">LOOCV0-P6-S0-T-E004</x:t>
  </x:si>
  <x:si>
    <x:t xml:space="preserve">LOOCV0-P6-S0-T-E005</x:t>
  </x:si>
  <x:si>
    <x:t xml:space="preserve">LOOCV0-P6-S0-T-E006</x:t>
  </x:si>
  <x:si>
    <x:t xml:space="preserve">LOOCV0-P6-S0-T-E007</x:t>
  </x:si>
  <x:si>
    <x:t xml:space="preserve">LOOCV0-P6-S0-T-E008</x:t>
  </x:si>
  <x:si>
    <x:t xml:space="preserve">LOOCV0-P6-S0-T-E009</x:t>
  </x:si>
  <x:si>
    <x:t xml:space="preserve">LOOCV0-P6-S0-T-E010</x:t>
  </x:si>
  <x:si>
    <x:t xml:space="preserve">LOOCV0-P7-S0-T-E001</x:t>
  </x:si>
  <x:si>
    <x:t xml:space="preserve">LOOCV0-P7-S0-T</x:t>
  </x:si>
  <x:si>
    <x:t xml:space="preserve">Input table contains stray S2 wording in calculation note; QC found no material propagation into the S0 reconstruction. No P1-style temporal evidence-surface exclusion identified.</x:t>
  </x:si>
  <x:si>
    <x:t xml:space="preserve">LOOCV0-P7-S0-T-E002</x:t>
  </x:si>
  <x:si>
    <x:t xml:space="preserve">LOOCV0-P7-S0-T-E003</x:t>
  </x:si>
  <x:si>
    <x:t xml:space="preserve">LOOCV0-P7-S0-T-E004</x:t>
  </x:si>
  <x:si>
    <x:t xml:space="preserve">LOOCV0-P7-S0-T-E005</x:t>
  </x:si>
  <x:si>
    <x:t xml:space="preserve">LOOCV0-P7-S0-T-E006</x:t>
  </x:si>
  <x:si>
    <x:t xml:space="preserve">LOOCV0-P7-S0-T-E007</x:t>
  </x:si>
  <x:si>
    <x:t xml:space="preserve">LOOCV0-P7-S0-T-E008</x:t>
  </x:si>
  <x:si>
    <x:t xml:space="preserve">LOOCV0-P7-S0-T-E009</x:t>
  </x:si>
  <x:si>
    <x:t xml:space="preserve">LOOCV0-P7-S0-T-E010</x:t>
  </x:si>
  <x:si>
    <x:t xml:space="preserve">LOOCV0-P8-S0-T-E001</x:t>
  </x:si>
  <x:si>
    <x:t xml:space="preserve">LOOCV0-P8-S0-T</x:t>
  </x:si>
  <x:si>
    <x:t xml:space="preserve">LOOCV0-P8-S0-T-E002</x:t>
  </x:si>
  <x:si>
    <x:t xml:space="preserve">LOOCV0-P8-S0-T-E003</x:t>
  </x:si>
  <x:si>
    <x:t xml:space="preserve">LOOCV0-P8-S0-T-E004</x:t>
  </x:si>
  <x:si>
    <x:t xml:space="preserve">LOOCV0-P8-S0-T-E005</x:t>
  </x:si>
  <x:si>
    <x:t xml:space="preserve">LOOCV0-P8-S0-T-E006</x:t>
  </x:si>
  <x:si>
    <x:t xml:space="preserve">LOOCV0-P8-S0-T-E007</x:t>
  </x:si>
  <x:si>
    <x:t xml:space="preserve">LOOCV0-P8-S0-T-E008</x:t>
  </x:si>
  <x:si>
    <x:t xml:space="preserve">LOOCV0-P8-S0-T-E009</x:t>
  </x:si>
  <x:si>
    <x:t xml:space="preserve">LOOCV0-P8-S0-T-E010</x:t>
  </x:si>
  <x:si>
    <x:t xml:space="preserve">LOOCV0-P9-S0-T-E001</x:t>
  </x:si>
  <x:si>
    <x:t xml:space="preserve">LOOCV0-P9-S0-T</x:t>
  </x:si>
  <x:si>
    <x:t xml:space="preserve">LOOCV0-P9-S0-T-E002</x:t>
  </x:si>
  <x:si>
    <x:t xml:space="preserve">LOOCV0-P9-S0-T-E003</x:t>
  </x:si>
  <x:si>
    <x:t xml:space="preserve">LOOCV0-P9-S0-T-E004</x:t>
  </x:si>
  <x:si>
    <x:t xml:space="preserve">LOOCV0-P9-S0-T-E005</x:t>
  </x:si>
  <x:si>
    <x:t xml:space="preserve">LOOCV0-P9-S0-T-E006</x:t>
  </x:si>
  <x:si>
    <x:t xml:space="preserve">LOOCV0-P9-S0-T-E007</x:t>
  </x:si>
  <x:si>
    <x:t xml:space="preserve">LOOCV0-P9-S0-T-E008</x:t>
  </x:si>
  <x:si>
    <x:t xml:space="preserve">LOOCV0-P9-S0-T-E009</x:t>
  </x:si>
  <x:si>
    <x:t xml:space="preserve">LOOCV0-P9-S0-T-E010</x:t>
  </x:si>
  <x:si>
    <x:t xml:space="preserve">LOOCV1-P1-S0-T-E001</x:t>
  </x:si>
  <x:si>
    <x:t xml:space="preserve">LOOCV1-P1-S0-T</x:t>
  </x:si>
  <x:si>
    <x:t xml:space="preserve">LOOCV1</x:t>
  </x:si>
  <x:si>
    <x:t xml:space="preserve">Full ER</x:t>
  </x:si>
  <x:si>
    <x:t xml:space="preserve">LOOCV1-P1-S0-T-E002</x:t>
  </x:si>
  <x:si>
    <x:t xml:space="preserve">LOOCV1-P1-S0-T-E003</x:t>
  </x:si>
  <x:si>
    <x:t xml:space="preserve">LOOCV1-P1-S0-T-E004</x:t>
  </x:si>
  <x:si>
    <x:t xml:space="preserve">LOOCV1-P1-S0-T-E005</x:t>
  </x:si>
  <x:si>
    <x:t xml:space="preserve">LOOCV1-P1-S0-T-E006</x:t>
  </x:si>
  <x:si>
    <x:t xml:space="preserve">LOOCV1-P1-S0-T-E007</x:t>
  </x:si>
  <x:si>
    <x:t xml:space="preserve">LOOCV1-P1-S0-T-E008</x:t>
  </x:si>
  <x:si>
    <x:t xml:space="preserve">LOOCV1-P1-S0-T-E009</x:t>
  </x:si>
  <x:si>
    <x:t xml:space="preserve">LOOCV1-P1-S0-T-E010</x:t>
  </x:si>
  <x:si>
    <x:t xml:space="preserve">LOOCV1-P1A-S0-T-E001</x:t>
  </x:si>
  <x:si>
    <x:t xml:space="preserve">LOOCV1-P1A-S0-T</x:t>
  </x:si>
  <x:si>
    <x:t xml:space="preserve">P1A</x:t>
  </x:si>
  <x:si>
    <x:t xml:space="preserve">132 Patrick Mill Circle</x:t>
  </x:si>
  <x:si>
    <x:t xml:space="preserve">LOOCV1-P1A-S0-T-E002</x:t>
  </x:si>
  <x:si>
    <x:t xml:space="preserve">LOOCV1-P1A-S0-T-E003</x:t>
  </x:si>
  <x:si>
    <x:t xml:space="preserve">Material Subject evidence-assimilation error: ER reconstructs P1A as having a one-car garage and uses that erroneous garage capacity as a downward valuation attribute; authorized DSS evidence supports a two-car garage.</x:t>
  </x:si>
  <x:si>
    <x:t xml:space="preserve">LOOCV1-P1A-S0-T-E004</x:t>
  </x:si>
  <x:si>
    <x:t xml:space="preserve">Material Subject evidence-assimilation error: ER reconstructs P1A as having a one-garage-space configuration and treats it as a principal intrinsic limitation; authorized DSS evidence supports a two-car garage.</x:t>
  </x:si>
  <x:si>
    <x:t xml:space="preserve">LOOCV1-P1A-S0-T-E005</x:t>
  </x:si>
  <x:si>
    <x:t xml:space="preserve">LOOCV1-P1A-S0-T-E006</x:t>
  </x:si>
  <x:si>
    <x:t xml:space="preserve">LOOCV1-P1A-S0-T-E007</x:t>
  </x:si>
  <x:si>
    <x:t xml:space="preserve">LOOCV1-P1A-S0-T-E008</x:t>
  </x:si>
  <x:si>
    <x:t xml:space="preserve">LOOCV1-P1A-S0-T-E009</x:t>
  </x:si>
  <x:si>
    <x:t xml:space="preserve">LOOCV1-P1A-S0-T-E010</x:t>
  </x:si>
  <x:si>
    <x:t xml:space="preserve">LOOCV1-P1A-S0-T-E011</x:t>
  </x:si>
  <x:si>
    <x:t xml:space="preserve">Replacement execution for excluded Run 3; generated to restore official n=10 after material garage-capacity evidence-assimilation error in original Run 3.</x:t>
  </x:si>
  <x:si>
    <x:t xml:space="preserve">LOOCV1-P1A-S0-T-E012</x:t>
  </x:si>
  <x:si>
    <x:t xml:space="preserve">Replacement execution for excluded Run 4; generated to restore official n=10 after material garage-capacity evidence-assimilation error in original Run 4.</x:t>
  </x:si>
  <x:si>
    <x:t xml:space="preserve">LOOCV1-P2-S0-T-E001</x:t>
  </x:si>
  <x:si>
    <x:t xml:space="preserve">LOOCV1-P2-S0-T</x:t>
  </x:si>
  <x:si>
    <x:t xml:space="preserve">LOOCV1-P2-S0-T-E002</x:t>
  </x:si>
  <x:si>
    <x:t xml:space="preserve">LOOCV1-P2-S0-T-E003</x:t>
  </x:si>
  <x:si>
    <x:t xml:space="preserve">LOOCV1-P2-S0-T-E004</x:t>
  </x:si>
  <x:si>
    <x:t xml:space="preserve">LOOCV1-P2-S0-T-E005</x:t>
  </x:si>
  <x:si>
    <x:t xml:space="preserve">LOOCV1-P2-S0-T-E006</x:t>
  </x:si>
  <x:si>
    <x:t xml:space="preserve">LOOCV1-P2-S0-T-E007</x:t>
  </x:si>
  <x:si>
    <x:t xml:space="preserve">LOOCV1-P2-S0-T-E008</x:t>
  </x:si>
  <x:si>
    <x:t xml:space="preserve">Execution conducted in non-temporary chat; replacement execution generated under required isolation condition. Substantive QC identified no independent reasoning/evidence defect.</x:t>
  </x:si>
  <x:si>
    <x:t xml:space="preserve">LOOCV1-P2-S0-T-E009</x:t>
  </x:si>
  <x:si>
    <x:t xml:space="preserve">LOOCV1-P2-S0-T-E010</x:t>
  </x:si>
  <x:si>
    <x:t xml:space="preserve">LOOCV1-P2-S0-T-E011</x:t>
  </x:si>
  <x:si>
    <x:t xml:space="preserve">Replacement execution for excluded Run 8; generated under required isolation condition to restore official n=10. No material QC issue identified.</x:t>
  </x:si>
  <x:si>
    <x:t xml:space="preserve">LOOCV1-P3-S0-T-E001</x:t>
  </x:si>
  <x:si>
    <x:t xml:space="preserve">LOOCV1-P3-S0-T</x:t>
  </x:si>
  <x:si>
    <x:t xml:space="preserve">LOOCV1-P3-S0-T-E002</x:t>
  </x:si>
  <x:si>
    <x:t xml:space="preserve">LOOCV1-P3-S0-T-E003</x:t>
  </x:si>
  <x:si>
    <x:t xml:space="preserve">LOOCV1-P3-S0-T-E004</x:t>
  </x:si>
  <x:si>
    <x:t xml:space="preserve">LOOCV1-P3-S0-T-E005</x:t>
  </x:si>
  <x:si>
    <x:t xml:space="preserve">LOOCV1-P3-S0-T-E006</x:t>
  </x:si>
  <x:si>
    <x:t xml:space="preserve">Execution conducted in non-temporary chat; replacement execution generated under required isolation condition. Forensic QC additionally identified a material Subject evidence-assimilation error: ER reconstructs a 2023 roof and newer windows and uses asserted capital improvements in comparative condition reasoning; authorized DSS evidence reports a 2025 roof and does not support that reconstruction.</x:t>
  </x:si>
  <x:si>
    <x:t xml:space="preserve">LOOCV1-P3-S0-T-E007</x:t>
  </x:si>
  <x:si>
    <x:t xml:space="preserve">LOOCV1-P3-S0-T-E008</x:t>
  </x:si>
  <x:si>
    <x:t xml:space="preserve">LOOCV1-P3-S0-T-E009</x:t>
  </x:si>
  <x:si>
    <x:t xml:space="preserve">LOOCV1-P3-S0-T-E010</x:t>
  </x:si>
  <x:si>
    <x:t xml:space="preserve">LOOCV1-P3-S0-T-E011</x:t>
  </x:si>
  <x:si>
    <x:t xml:space="preserve">Replacement execution for excluded Run 6; generated under required isolation condition to restore official n=10. No material QC issue identified.</x:t>
  </x:si>
  <x:si>
    <x:t xml:space="preserve">LOOCV1-P5-S0-T-E001</x:t>
  </x:si>
  <x:si>
    <x:t xml:space="preserve">LOOCV1-P5-S0-T</x:t>
  </x:si>
  <x:si>
    <x:t xml:space="preserve">LOOCV1-P5-S0-T-E002</x:t>
  </x:si>
  <x:si>
    <x:t xml:space="preserve">LOOCV1-P5-S0-T-E003</x:t>
  </x:si>
  <x:si>
    <x:t xml:space="preserve">LOOCV1-P5-S0-T-E004</x:t>
  </x:si>
  <x:si>
    <x:t xml:space="preserve">Wrong experimental condition. Execution reconstructs and values P6 / 144 Crosstide Circle rather than the designated P5 / 161 Crossroad Lakes Drive held-out property, materially substituting the wrong Subject and evidence condition.</x:t>
  </x:si>
  <x:si>
    <x:t xml:space="preserve">LOOCV1-P5-S0-T-E005</x:t>
  </x:si>
  <x:si>
    <x:t xml:space="preserve">LOOCV1-P5-S0-T-E006</x:t>
  </x:si>
  <x:si>
    <x:t xml:space="preserve">LOOCV1-P5-S0-T-E007</x:t>
  </x:si>
  <x:si>
    <x:t xml:space="preserve">LOOCV1-P5-S0-T-E008</x:t>
  </x:si>
  <x:si>
    <x:t xml:space="preserve">LOOCV1-P5-S0-T-E009</x:t>
  </x:si>
  <x:si>
    <x:t xml:space="preserve">LOOCV1-P5-S0-T-E010</x:t>
  </x:si>
  <x:si>
    <x:t xml:space="preserve">LOOCV1-P5-S0-T-E011</x:t>
  </x:si>
  <x:si>
    <x:t xml:space="preserve">Replacement execution for excluded Run 8; generated under required isolation condition to restore the official population. No material QC issue identified.</x:t>
  </x:si>
  <x:si>
    <x:t xml:space="preserve">LOOCV1-P5-S0-T-E012</x:t>
  </x:si>
  <x:si>
    <x:t xml:space="preserve">Replacement execution for excluded Run 4; generated to restore official n=10 after Run 4 materially substituted the P6 held-out property/evidence condition for P5. No material QC issue identified.</x:t>
  </x:si>
  <x:si>
    <x:t xml:space="preserve">LOOCV1-P6-S0-T-E001</x:t>
  </x:si>
  <x:si>
    <x:t xml:space="preserve">LOOCV1-P6-S0-T</x:t>
  </x:si>
  <x:si>
    <x:t xml:space="preserve">LOOCV1-P6-S0-T-E002</x:t>
  </x:si>
  <x:si>
    <x:t xml:space="preserve">LOOCV1-P6-S0-T-E003</x:t>
  </x:si>
  <x:si>
    <x:t xml:space="preserve">LOOCV1-P6-S0-T-E004</x:t>
  </x:si>
  <x:si>
    <x:t xml:space="preserve">LOOCV1-P6-S0-T-E005</x:t>
  </x:si>
  <x:si>
    <x:t xml:space="preserve">LOOCV1-P6-S0-T-E006</x:t>
  </x:si>
  <x:si>
    <x:t xml:space="preserve">LOOCV1-P6-S0-T-E007</x:t>
  </x:si>
  <x:si>
    <x:t xml:space="preserve">LOOCV1-P6-S0-T-E008</x:t>
  </x:si>
  <x:si>
    <x:t xml:space="preserve">LOOCV1-P6-S0-T-E009</x:t>
  </x:si>
  <x:si>
    <x:t xml:space="preserve">LOOCV1-P6-S0-T-E010</x:t>
  </x:si>
  <x:si>
    <x:t xml:space="preserve">LOOCV1-P6-S0-T-E011</x:t>
  </x:si>
  <x:si>
    <x:t xml:space="preserve">LOOCV1-P7-S0-T-E001</x:t>
  </x:si>
  <x:si>
    <x:t xml:space="preserve">LOOCV1-P7-S0-T</x:t>
  </x:si>
  <x:si>
    <x:t xml:space="preserve">LOOCV1-P7-S0-T-E002</x:t>
  </x:si>
  <x:si>
    <x:t xml:space="preserve">LOOCV1-P7-S0-T-E003</x:t>
  </x:si>
  <x:si>
    <x:t xml:space="preserve">LOOCV1-P7-S0-T-E004</x:t>
  </x:si>
  <x:si>
    <x:t xml:space="preserve">LOOCV1-P7-S0-T-E005</x:t>
  </x:si>
  <x:si>
    <x:t xml:space="preserve">LOOCV1-P7-S0-T-E006</x:t>
  </x:si>
  <x:si>
    <x:t xml:space="preserve">LOOCV1-P7-S0-T-E007</x:t>
  </x:si>
  <x:si>
    <x:t xml:space="preserve">LOOCV1-P7-S0-T-E008</x:t>
  </x:si>
  <x:si>
    <x:t xml:space="preserve">LOOCV1-P7-S0-T-E009</x:t>
  </x:si>
  <x:si>
    <x:t xml:space="preserve">Material Subject evidence-assimilation error. ER reconstructs the Subject lot as approximately 0.32 acre and incorporates that enlarged lot representation into the Subject's comparative characterization; authorized DSS evidence supports approximately 0.22 acre.</x:t>
  </x:si>
  <x:si>
    <x:t xml:space="preserve">LOOCV1-P7-S0-T-E010</x:t>
  </x:si>
  <x:si>
    <x:t xml:space="preserve">LOOCV1-P7-S0-T-E011</x:t>
  </x:si>
  <x:si>
    <x:t xml:space="preserve">Replacement execution for excluded Run 5; generated under required isolation condition to restore the official population. No material QC issue identified.</x:t>
  </x:si>
  <x:si>
    <x:t xml:space="preserve">LOOCV1-P7-S0-T-E012</x:t>
  </x:si>
  <x:si>
    <x:t xml:space="preserve">Replacement execution for excluded Run 9; generated to restore official n=10 after the material Subject lot-size evidence-assimilation error. No material QC issue identified.</x:t>
  </x:si>
  <x:si>
    <x:t xml:space="preserve">LOOCV1-P8-S0-T-E001</x:t>
  </x:si>
  <x:si>
    <x:t xml:space="preserve">LOOCV1-P8-S0-T</x:t>
  </x:si>
  <x:si>
    <x:t xml:space="preserve">ACCEPT—NOTE — ER states that the completed-sale set contains seven sales although eight completed sales were supplied. All eight are nevertheless represented/considered in the execution; no material evidence omission or alteration identified.</x:t>
  </x:si>
  <x:si>
    <x:t xml:space="preserve">LOOCV1-P8-S0-T-E002</x:t>
  </x:si>
  <x:si>
    <x:t xml:space="preserve">LOOCV1-P8-S0-T-E003</x:t>
  </x:si>
  <x:si>
    <x:t xml:space="preserve">EXCLUDE — wrong experimental condition. Execution reconstructs and values P7 / 145 Crossroad Lakes Drive rather than designated P8 / 140 Crosscove Circle, materially substituting the wrong held-out property and evidence condition.</x:t>
  </x:si>
  <x:si>
    <x:t xml:space="preserve">LOOCV1-P8-S0-T-E004</x:t>
  </x:si>
  <x:si>
    <x:t xml:space="preserve">LOOCV1-P8-S0-T-E005</x:t>
  </x:si>
  <x:si>
    <x:t xml:space="preserve">LOOCV1-P8-S0-T-E006</x:t>
  </x:si>
  <x:si>
    <x:t xml:space="preserve">LOOCV1-P8-S0-T-E007</x:t>
  </x:si>
  <x:si>
    <x:t xml:space="preserve">LOOCV1-P8-S0-T-E008</x:t>
  </x:si>
  <x:si>
    <x:t xml:space="preserve">LOOCV1-P8-S0-T-E009</x:t>
  </x:si>
  <x:si>
    <x:t xml:space="preserve">LOOCV1-P8-S0-T-E010</x:t>
  </x:si>
  <x:si>
    <x:t xml:space="preserve">EXCLUDE — material Subject evidence-assimilation error. ER reverses the reported roof and HVAC vintages, reconstructing a 2022 roof and 2016 HVAC where the authorized evidence reports a 2015 roof and 2022 HVAC, materially altering major-system condition evidence.</x:t>
  </x:si>
  <x:si>
    <x:t xml:space="preserve">LOOCV1-P8-S0-T-E011</x:t>
  </x:si>
  <x:si>
    <x:t xml:space="preserve">Replacement execution for excluded Run 3; generated to restore official n=10 after wrong experimental condition. No material QC issue identified.</x:t>
  </x:si>
  <x:si>
    <x:t xml:space="preserve">LOOCV1-P8-S0-T-E012</x:t>
  </x:si>
  <x:si>
    <x:t xml:space="preserve">Replacement execution for excluded Run 10; generated to restore official n=10 after material roof/HVAC evidence-assimilation error. No material QC issue identified.</x:t>
  </x:si>
  <x:si>
    <x:t xml:space="preserve">LOOCV1-P9-S0-T-E001</x:t>
  </x:si>
  <x:si>
    <x:t xml:space="preserve">LOOCV1-P9-S0-T</x:t>
  </x:si>
  <x:si>
    <x:t xml:space="preserve">LOOCV1-P9-S0-T-E002</x:t>
  </x:si>
  <x:si>
    <x:t xml:space="preserve">LOOCV1-P9-S0-T-E003</x:t>
  </x:si>
  <x:si>
    <x:t xml:space="preserve">LOOCV1-P9-S0-T-E004</x:t>
  </x:si>
  <x:si>
    <x:t xml:space="preserve">LOOCV1-P9-S0-T-E005</x:t>
  </x:si>
  <x:si>
    <x:t xml:space="preserve">LOOCV1-P9-S0-T-E006</x:t>
  </x:si>
  <x:si>
    <x:t xml:space="preserve">LOOCV1-P9-S0-T-E007</x:t>
  </x:si>
  <x:si>
    <x:t xml:space="preserve">LOOCV1-P9-S0-T-E008</x:t>
  </x:si>
  <x:si>
    <x:t xml:space="preserve">LOOCV1-P9-S0-T-E009</x:t>
  </x:si>
  <x:si>
    <x:t xml:space="preserve">LOOCV1-P9-S0-T-E010</x:t>
  </x:si>
  <x:si>
    <x:t xml:space="preserve">OPVAL-P1A-S0-NT-E001</x:t>
  </x:si>
  <x:si>
    <x:t xml:space="preserve">OPVAL-P1A-S0-NT</x:t>
  </x:si>
  <x:si>
    <x:t xml:space="preserve">OPVAL</x:t>
  </x:si>
  <x:si>
    <x:t xml:space="preserve">OPVAL-P1A-S0-NT-E002</x:t>
  </x:si>
  <x:si>
    <x:t xml:space="preserve">EXCLUDE / REPLACE — material Subject-state reconstruction error: Subject reported at ~1,940 SF with two-car garage instead of 2,047 SF with one-car garage; erroneous state used in comparative reasoning.</x:t>
  </x:si>
  <x:si>
    <x:t xml:space="preserve">OPVAL-P1A-S0-NT-E003</x:t>
  </x:si>
  <x:si>
    <x:t xml:space="preserve">OPVAL-P1A-S0-NT-E004</x:t>
  </x:si>
  <x:si>
    <x:t xml:space="preserve">EXCLUDE / REPLACE — material Subject-state reconstruction error: Subject reported with two-car garage instead of one-car garage; garage capacity used as valuation-relevant comparative evidence.</x:t>
  </x:si>
  <x:si>
    <x:t xml:space="preserve">OPVAL-P1A-S0-NT-E005</x:t>
  </x:si>
  <x:si>
    <x:t xml:space="preserve">OPVAL-P1A-S0-NT-E006</x:t>
  </x:si>
  <x:si>
    <x:t xml:space="preserve">OPVAL-P1A-S0-NT-E007</x:t>
  </x:si>
  <x:si>
    <x:t xml:space="preserve">EXCLUDE / REPLACE — material Subject-state reconstruction error: Subject reported at ~1,940 SF with two-car garage instead of 2,047 SF with one-car garage.</x:t>
  </x:si>
  <x:si>
    <x:t xml:space="preserve">OPVAL-P1A-S0-NT-E008</x:t>
  </x:si>
  <x:si>
    <x:t xml:space="preserve">OPVAL-P1A-S0-NT-E009</x:t>
  </x:si>
  <x:si>
    <x:t xml:space="preserve">OPVAL-P1A-S0-NT-E010</x:t>
  </x:si>
  <x:si>
    <x:t xml:space="preserve">EXCLUDE / REPLACE — material Subject-state reconstruction error: Subject reported at ~1,667 SF with two-car garage instead of 2,047 SF with one-car garage; corrupted state materially used in valuation.</x:t>
  </x:si>
  <x:si>
    <x:t xml:space="preserve">OPVAL-P1A-S0-NT-E011</x:t>
  </x:si>
  <x:si>
    <x:t xml:space="preserve">EXCLUDE / REPLACE — material Subject-state reconstruction error: Subject reported at ~1,710 SF with two-car garage instead of 2,047 SF with one-car garage; erroneous size/garage state explicitly used in valuation.</x:t>
  </x:si>
  <x:si>
    <x:t xml:space="preserve">OPVAL-P1A-S0-NT-E012</x:t>
  </x:si>
  <x:si>
    <x:t xml:space="preserve">PASS — flagged non-material comparable-field reconstruction discrepancies observed. Examples: 265 Patrick Mill living area reported ~1,983 SF vs 2,323 SF; 216 Crosstern ~1,905 SF vs 1,995 SF. Subject decision-critical state reconstructed correctly; retained under established materiality-focused QC.</x:t>
  </x:si>
  <x:si>
    <x:t xml:space="preserve">OPVAL-P1A-S0-NT-E013</x:t>
  </x:si>
  <x:si>
    <x:t xml:space="preserve">PASS — flagged non-material comparable-field reconstruction discrepancies observed. Examples: 109 Patrick Mill ~1,922 SF vs 1,729 SF; 265 Patrick Mill ~1,933 SF vs 2,323 SF; 144 Crosstide ~1,996 SF vs 1,969 SF. Subject decision-critical state reconstructed correctly; retained under established materiality-focused QC.</x:t>
  </x:si>
  <x:si>
    <x:t xml:space="preserve">OPVAL-P1A-S0-NT-E014</x:t>
  </x:si>
  <x:si>
    <x:t xml:space="preserve">PASS — flagged non-material comparable-field reconstruction discrepancy: 265 Patrick Mill living area reported ~1,993 SF vs 2,323 SF. Subject decision-critical state reconstructed correctly; retained under established materiality-focused QC.</x:t>
  </x:si>
  <x:si>
    <x:t xml:space="preserve">OPVAL-P1A-S0-NT-E015</x:t>
  </x:si>
  <x:si>
    <x:t xml:space="preserve">OPVAL-P1A-S0-NT-E016</x:t>
  </x:si>
  <x:si>
    <x:t xml:space="preserve">EXCLUDE / REPLACE — material Subject-state reconstruction error: Subject reported at ~2,477 SF with two-car garage instead of 2,047 SF with one-car garage; both erroneous characteristics explicitly used in valuation.</x:t>
  </x:si>
  <x:si>
    <x:t xml:space="preserve">OPVAL-P1A-S0-NT-E017</x:t>
  </x:si>
  <x:si>
    <x:t xml:space="preserve">PASS — qualifying replacement. Subject reconstructed as 2,047 SF, 3/2, 0.12 acre, one-car garage, non-waterfront, no private pool. QC-established lineage is R2→R11→R16→R17; source filename's 'replaces run15' label is not used for registry lineage.</x:t>
  </x:si>
  <x:si>
    <x:t xml:space="preserve">OPVAL-P2A-S0-NT-E001</x:t>
  </x:si>
  <x:si>
    <x:t xml:space="preserve">OPVAL-P2A-S0-NT</x:t>
  </x:si>
  <x:si>
    <x:t xml:space="preserve">P2A</x:t>
  </x:si>
  <x:si>
    <x:t xml:space="preserve">252 Seamist Court</x:t>
  </x:si>
  <x:si>
    <x:t xml:space="preserve">PASS — flagged non-material comparable-field reconstruction discrepancies observed; Subject decision-critical state reconstructed sufficiently correctly and retained under established materiality-focused QC.</x:t>
  </x:si>
  <x:si>
    <x:t xml:space="preserve">OPVAL-P2A-S0-NT-E002</x:t>
  </x:si>
  <x:si>
    <x:t xml:space="preserve">EXCLUDE / REPLACE — material Subject-state reconstruction error: Subject reconstructed at approximately 2,818 SF rather than 2,006 SF; erroneous additional size expressly used as a major positive valuation characteristic.</x:t>
  </x:si>
  <x:si>
    <x:t xml:space="preserve">OPVAL-P2A-S0-NT-E003</x:t>
  </x:si>
  <x:si>
    <x:t xml:space="preserve">OPVAL-P2A-S0-NT-E004</x:t>
  </x:si>
  <x:si>
    <x:t xml:space="preserve">OPVAL-P2A-S0-NT-E005</x:t>
  </x:si>
  <x:si>
    <x:t xml:space="preserve">EXCLUDE / REPLACE — material transaction-state reconstruction error: Subject represented at approximately 2,016 SF and $699,000 with erroneous near-immediate contract chronology; erroneous market-behavior state materially used in Stage 4 and final valuation.</x:t>
  </x:si>
  <x:si>
    <x:t xml:space="preserve">OPVAL-P2A-S0-NT-E006</x:t>
  </x:si>
  <x:si>
    <x:t xml:space="preserve">OPVAL-P2A-S0-NT-E007</x:t>
  </x:si>
  <x:si>
    <x:t xml:space="preserve">OPVAL-P2A-S0-NT-E008</x:t>
  </x:si>
  <x:si>
    <x:t xml:space="preserve">OPVAL-P2A-S0-NT-E009</x:t>
  </x:si>
  <x:si>
    <x:t xml:space="preserve">OPVAL-P2A-S0-NT-E010</x:t>
  </x:si>
  <x:si>
    <x:t xml:space="preserve">OPVAL-P2A-S0-NT-E011</x:t>
  </x:si>
  <x:si>
    <x:t xml:space="preserve">PASS — qualifying replacement for R2. Subject reconstructed correctly at 2,006 SF, 3/2, two-car garage, ~0.40 acre, lakefront, no private pool, with $689,000 original/current list and approximately 9 DOM. Flagged non-material comparable discrepancy: 265 Patrick Mill living area reported ~2,163 SF vs 2,323 SF.</x:t>
  </x:si>
  <x:si>
    <x:t xml:space="preserve">OPVAL-P2A-S0-NT-E012</x:t>
  </x:si>
  <x:si>
    <x:t xml:space="preserve">EXCLUDE / REPLACE — material Subject/listing-state reconstruction error: Subject reported at ~2,816 SF with $749,000 original list and $699,000 later/final list plus extended exposure/buyer resistance; erroneous state materially used in intrinsic and transaction valuation.</x:t>
  </x:si>
  <x:si>
    <x:t xml:space="preserve">OPVAL-P2A-S0-NT-E013</x:t>
  </x:si>
  <x:si>
    <x:t xml:space="preserve">PASS — qualifying replacement completing R5 lineage. Subject reconstructed correctly at 2,006 SF, 3/2, two-car garage, 0.40 acre, lakefront, no private pool, $689,000 original/final list and approximately 9 DOM. Flagged non-material comparable discrepancy: 265 Patrick Mill living area reported ~2,213 SF vs 2,323 SF. Lineage R5→R12→R13.</x:t>
  </x:si>
  <x:si>
    <x:t xml:space="preserve">OPVAL-P3A-S0-NT-E001</x:t>
  </x:si>
  <x:si>
    <x:t xml:space="preserve">OPVAL-P3A-S0-NT</x:t>
  </x:si>
  <x:si>
    <x:t xml:space="preserve">P3A</x:t>
  </x:si>
  <x:si>
    <x:t xml:space="preserve">213 Seamist Court</x:t>
  </x:si>
  <x:si>
    <x:t xml:space="preserve">OPVAL-P3A-S0-NT-E002</x:t>
  </x:si>
  <x:si>
    <x:t xml:space="preserve">OPVAL-P3A-S0-NT-E003</x:t>
  </x:si>
  <x:si>
    <x:t xml:space="preserve">OPVAL-P3A-S0-NT-E004</x:t>
  </x:si>
  <x:si>
    <x:t xml:space="preserve">EXCLUDE / REPLACE — material Subject listing-state reconstruction error: original list reconstructed as $865,000 rather than $885,000 and used in transaction reasoning.</x:t>
  </x:si>
  <x:si>
    <x:t xml:space="preserve">OPVAL-P3A-S0-NT-E005</x:t>
  </x:si>
  <x:si>
    <x:t xml:space="preserve">PASS — flagged non-material comparable-field reconstruction discrepancies observed; retained under established decision-materiality QC standard.</x:t>
  </x:si>
  <x:si>
    <x:t xml:space="preserve">OPVAL-P3A-S0-NT-E006</x:t>
  </x:si>
  <x:si>
    <x:t xml:space="preserve">EXCLUDE / REPLACE — material Subject listing-state reconstruction error: original list reconstructed at approximately $898,000 rather than $885,000 and used in transaction reasoning.</x:t>
  </x:si>
  <x:si>
    <x:t xml:space="preserve">OPVAL-P3A-S0-NT-E007</x:t>
  </x:si>
  <x:si>
    <x:t xml:space="preserve">EXCLUDE / REPLACE — material Subject listing-state reconstruction error: original list reconstructed as $985,000 rather than $885,000 and used in transaction reasoning.</x:t>
  </x:si>
  <x:si>
    <x:t xml:space="preserve">OPVAL-P3A-S0-NT-E008</x:t>
  </x:si>
  <x:si>
    <x:t xml:space="preserve">EXCLUDE / REPLACE — material Subject transaction-state reconstruction error: Subject represented at approximately 2,358 SF and, materially, as originally listed at $810,000, erasing the $885,000→$810,000 repricing history used in transaction reasoning.</x:t>
  </x:si>
  <x:si>
    <x:t xml:space="preserve">OPVAL-P3A-S0-NT-E009</x:t>
  </x:si>
  <x:si>
    <x:t xml:space="preserve">OPVAL-P3A-S0-NT-E010</x:t>
  </x:si>
  <x:si>
    <x:t xml:space="preserve">EXCLUDE / REPLACE — material Subject listing-state reconstruction error: original list reconstructed as approximately $888,000 rather than $885,000 and used in transaction reasoning.</x:t>
  </x:si>
  <x:si>
    <x:t xml:space="preserve">OPVAL-P3A-S0-NT-E011</x:t>
  </x:si>
  <x:si>
    <x:t xml:space="preserve">PASS — qualifying replacement for R4; decision-material Subject state and listing history reconstructed correctly.</x:t>
  </x:si>
  <x:si>
    <x:t xml:space="preserve">OPVAL-P3A-S0-NT-E012</x:t>
  </x:si>
  <x:si>
    <x:t xml:space="preserve">EXCLUDE / REPLACE — material Subject transaction-state reconstruction error: approximately 23 days exposure reconstructed instead of approximately 237 days and used in transaction reasoning.</x:t>
  </x:si>
  <x:si>
    <x:t xml:space="preserve">OPVAL-P3A-S0-NT-E013</x:t>
  </x:si>
  <x:si>
    <x:t xml:space="preserve">EXCLUDE / REPLACE — material Subject listing-state reconstruction error: represented as originally listed at $810,000 with no visible reduction, erasing the actual $885,000→$810,000 repricing history used in transaction reasoning.</x:t>
  </x:si>
  <x:si>
    <x:t xml:space="preserve">OPVAL-P3A-S0-NT-E014</x:t>
  </x:si>
  <x:si>
    <x:t xml:space="preserve">EXCLUDE / REPLACE — material Subject transaction-state reconstruction error: approximately 273 DOM reconstructed instead of approximately 237 DOM and used in transaction reasoning.</x:t>
  </x:si>
  <x:si>
    <x:t xml:space="preserve">OPVAL-P3A-S0-NT-E015</x:t>
  </x:si>
  <x:si>
    <x:t xml:space="preserve">OPVAL-P3A-S0-NT-E016</x:t>
  </x:si>
  <x:si>
    <x:t xml:space="preserve">PASS — qualifying replacement completing R6→R12 lineage; decision-material Subject state and listing history reconstructed correctly.</x:t>
  </x:si>
  <x:si>
    <x:t xml:space="preserve">OPVAL-P3A-S0-NT-E017</x:t>
  </x:si>
  <x:si>
    <x:t xml:space="preserve">EXCLUDE / REPLACE — material Subject listing-state reconstruction error: original list reconstructed as $985,000 rather than $885,000 and repeatedly used in transaction reasoning.</x:t>
  </x:si>
  <x:si>
    <x:t xml:space="preserve">OPVAL-P3A-S0-NT-E018</x:t>
  </x:si>
  <x:si>
    <x:t xml:space="preserve">OPVAL-P3A-S0-NT-E019</x:t>
  </x:si>
  <x:si>
    <x:t xml:space="preserve">PASS — qualifying replacement completing R10→R15 lineage. Flagged non-material comparable-field reconstruction discrepancy: 252 Seamist represented at approximately 2,016 SF rather than 2,006 SF.</x:t>
  </x:si>
  <x:si>
    <x:t xml:space="preserve">OPVAL-P3A-S0-NT-E020</x:t>
  </x:si>
  <x:si>
    <x:t xml:space="preserve">PASS — qualifying replacement completing R7→R13→R17 lineage. Flagged non-material comparable reconstruction discrepancies, including 252 Seamist represented at approximately 2,816 SF rather than 2,006 SF, 265 Patrick Mill at approximately 2,135 SF rather than 2,323 SF, and 140 Crosscove described as lacking a private pool. Retained under established decision-materiality QC standard.</x:t>
  </x:si>
  <x:si>
    <x:t xml:space="preserve">OPVAL-P3A-S0-NT-E021</x:t>
  </x:si>
  <x:si>
    <x:t xml:space="preserve">PASS — qualifying replacement completing R8→R14→R18 lineage; decision-material Subject state and listing history reconstructed correctly.</x:t>
  </x:si>
  <x:si>
    <x:t xml:space="preserve">OPVAL-P4A-S0-NT-E001</x:t>
  </x:si>
  <x:si>
    <x:t xml:space="preserve">OPVAL-P4A-S0-NT</x:t>
  </x:si>
  <x:si>
    <x:t xml:space="preserve">P4A</x:t>
  </x:si>
  <x:si>
    <x:t xml:space="preserve">144 Crosscove Circle</x:t>
  </x:si>
  <x:si>
    <x:t xml:space="preserve">OPVAL-P4A-S0-NT-E002</x:t>
  </x:si>
  <x:si>
    <x:t xml:space="preserve">EXCLUDE / REPLACE — material Subject-state reconstruction error: Subject reconstructed at approximately 2,603 SF rather than 2,000 SF and the erroneous larger footprint was used in comparative reasoning.</x:t>
  </x:si>
  <x:si>
    <x:t xml:space="preserve">OPVAL-P4A-S0-NT-E003</x:t>
  </x:si>
  <x:si>
    <x:t xml:space="preserve">OPVAL-P4A-S0-NT-E004</x:t>
  </x:si>
  <x:si>
    <x:t xml:space="preserve">EXCLUDE / REPLACE — material Subject-state reconstruction error: Subject reconstructed at approximately 2,633 SF rather than 2,000 SF and the erroneous larger footprint was used in comparative reasoning.</x:t>
  </x:si>
  <x:si>
    <x:t xml:space="preserve">OPVAL-P4A-S0-NT-E005</x:t>
  </x:si>
  <x:si>
    <x:t xml:space="preserve">OPVAL-P4A-S0-NT-E006</x:t>
  </x:si>
  <x:si>
    <x:t xml:space="preserve">EXCLUDE / REPLACE — protocol-interpretation non-execution. DF incorrectly treated visible completed-sale outcomes for comparables as failure of the Subject outcome-redaction control and produced no valuation output.</x:t>
  </x:si>
  <x:si>
    <x:t xml:space="preserve">OPVAL-P4A-S0-NT-E007</x:t>
  </x:si>
  <x:si>
    <x:t xml:space="preserve">OPVAL-P4A-S0-NT-E008</x:t>
  </x:si>
  <x:si>
    <x:t xml:space="preserve">OPVAL-P4A-S0-NT-E009</x:t>
  </x:si>
  <x:si>
    <x:t xml:space="preserve">OPVAL-P4A-S0-NT-E010</x:t>
  </x:si>
  <x:si>
    <x:t xml:space="preserve">OPVAL-P4A-S0-NT-E011</x:t>
  </x:si>
  <x:si>
    <x:t xml:space="preserve">PASS — qualifying replacement for R6; full valuation executed with Subject outcome properly treated as redacted.</x:t>
  </x:si>
  <x:si>
    <x:t xml:space="preserve">OPVAL-P4A-S0-NT-E012</x:t>
  </x:si>
  <x:si>
    <x:t xml:space="preserve">PASS — qualifying replacement for R2; decision-material Subject state and three-day transaction chronology reconstructed correctly.</x:t>
  </x:si>
  <x:si>
    <x:t xml:space="preserve">OPVAL-P4A-S0-NT-E013</x:t>
  </x:si>
  <x:si>
    <x:t xml:space="preserve">PASS — retrospective QC review of original DSS-only frozen ER; replacement for R4; no material discrepancy identified.</x:t>
  </x:si>
  <x:si>
    <x:t xml:space="preserve">OPVAL-P5A-S0-NT-E001</x:t>
  </x:si>
  <x:si>
    <x:t xml:space="preserve">OPVAL-P5A-S0-NT</x:t>
  </x:si>
  <x:si>
    <x:t xml:space="preserve">P5A</x:t>
  </x:si>
  <x:si>
    <x:t xml:space="preserve">193 Crosscove Circle</x:t>
  </x:si>
  <x:si>
    <x:t xml:space="preserve">OPVAL-P5A-S0-NT-E002</x:t>
  </x:si>
  <x:si>
    <x:t xml:space="preserve">OPVAL-P5A-S0-NT-E003</x:t>
  </x:si>
  <x:si>
    <x:t xml:space="preserve">OPVAL-P5A-S0-NT-E004</x:t>
  </x:si>
  <x:si>
    <x:t xml:space="preserve">OPVAL-P5A-S0-NT-E005</x:t>
  </x:si>
  <x:si>
    <x:t xml:space="preserve">PASS — qualifying original. Flagged non-material comparable-field reconstruction discrepancy: 252 Seamist represented at approximately 2,216 SF rather than 2,006 SF. Retained under established decision-materiality QC standard.</x:t>
  </x:si>
  <x:si>
    <x:t xml:space="preserve">OPVAL-P5A-S0-NT-E006</x:t>
  </x:si>
  <x:si>
    <x:t xml:space="preserve">OPVAL-P5A-S0-NT-E007</x:t>
  </x:si>
  <x:si>
    <x:t xml:space="preserve">EXCLUDE / REPLACE — material Subject transaction-state reconstruction error: Subject asking price treated as $749,900 rather than the actual $677,900 original / $665,000 final listing history, and the erroneous price state was used in the valuation.</x:t>
  </x:si>
  <x:si>
    <x:t xml:space="preserve">OPVAL-P5A-S0-NT-E008</x:t>
  </x:si>
  <x:si>
    <x:t xml:space="preserve">PASS — qualifying original with non-material comparable-field reconstruction noise retained under established decision-materiality QC standard; decision-material Subject state and listing history reconstructed correctly.</x:t>
  </x:si>
  <x:si>
    <x:t xml:space="preserve">OPVAL-P5A-S0-NT-E009</x:t>
  </x:si>
  <x:si>
    <x:t xml:space="preserve">OPVAL-P5A-S0-NT-E010</x:t>
  </x:si>
  <x:si>
    <x:t xml:space="preserve">OPVAL-P5A-S0-NT-E011</x:t>
  </x:si>
  <x:si>
    <x:t xml:space="preserve">PASS — qualifying replacement for R7. Decision-material Subject state and $677,900 original / $665,000 final / 128-DOM listing history reconstructed correctly. Flagged non-material comparable-field discrepancy: 265 Patrick Mill represented at approximately 2,133 SF rather than 2,323 SF.</x:t>
  </x:si>
  <x:si>
    <x:t xml:space="preserve">OPVAL-P6A-S0-NT-E001</x:t>
  </x:si>
  <x:si>
    <x:t xml:space="preserve">OPVAL-P6A-S0-NT</x:t>
  </x:si>
  <x:si>
    <x:t xml:space="preserve">P6A</x:t>
  </x:si>
  <x:si>
    <x:t xml:space="preserve">185 Crosscove Circle</x:t>
  </x:si>
  <x:si>
    <x:t xml:space="preserve">OPVAL-P6A-S0-NT-E002</x:t>
  </x:si>
  <x:si>
    <x:t xml:space="preserve">EXCLUDE / REPLACE — material Subject physical-state reconstruction error: Subject represented at approximately 2,069 SF rather than 1,850 SF, and the erroneous size relationship was used in comparative reasoning.</x:t>
  </x:si>
  <x:si>
    <x:t xml:space="preserve">OPVAL-P6A-S0-NT-E003</x:t>
  </x:si>
  <x:si>
    <x:t xml:space="preserve">PASS — qualifying original. Flagged non-material comparable-field discrepancy: 132 Patrick Mill represented at approximately 1,940 SF rather than 2,047 SF. Retained under established decision-materiality QC standard.</x:t>
  </x:si>
  <x:si>
    <x:t xml:space="preserve">OPVAL-P6A-S0-NT-E004</x:t>
  </x:si>
  <x:si>
    <x:t xml:space="preserve">OPVAL-P6A-S0-NT-E005</x:t>
  </x:si>
  <x:si>
    <x:t xml:space="preserve">OPVAL-P6A-S0-NT-E006</x:t>
  </x:si>
  <x:si>
    <x:t xml:space="preserve">OPVAL-P6A-S0-NT-E007</x:t>
  </x:si>
  <x:si>
    <x:t xml:space="preserve">PASS — qualifying original with non-material comparable-field reconstruction noise retained under established decision-materiality QC standard; decision-material Subject state and transaction chronology reconstructed correctly.</x:t>
  </x:si>
  <x:si>
    <x:t xml:space="preserve">OPVAL-P6A-S0-NT-E008</x:t>
  </x:si>
  <x:si>
    <x:t xml:space="preserve">OPVAL-P6A-S0-NT-E009</x:t>
  </x:si>
  <x:si>
    <x:t xml:space="preserve">EXCLUDE / REPLACE — material Subject transaction-state reconstruction error: Subject treated as listed at $665,000 rather than $650,000, and the erroneous asking-price state was used in transaction reasoning.</x:t>
  </x:si>
  <x:si>
    <x:t xml:space="preserve">OPVAL-P6A-S0-NT-E010</x:t>
  </x:si>
  <x:si>
    <x:t xml:space="preserve">OPVAL-P6A-S0-NT-E011</x:t>
  </x:si>
  <x:si>
    <x:t xml:space="preserve">PASS — qualifying replacement for R2. Decision-material Subject physical state, $650,000 list price, and three-day transaction chronology reconstructed correctly.</x:t>
  </x:si>
  <x:si>
    <x:t xml:space="preserve">OPVAL-P6A-S0-NT-E012</x:t>
  </x:si>
  <x:si>
    <x:t xml:space="preserve">EXCLUDE / REPLACE — replacement execution retained correct physical Subject state but again reconstructed $665,000 as the Subject asking price and invented prolonged/continued market exposure; that erroneous transaction state was used to reduce F from I.</x:t>
  </x:si>
  <x:si>
    <x:t xml:space="preserve">OPVAL-P6A-S0-NT-E013</x:t>
  </x:si>
  <x:si>
    <x:t xml:space="preserve">PASS — qualifying replacement completing R9 → R12 → R13 chain. Correct Subject physical state and $650,000 list / April 1 listing / April 4 contract / 3-DOM transaction state. Minor comparable-field noise retained as non-material.</x:t>
  </x:si>
  <x:si>
    <x:t xml:space="preserve">OPVAL-P7A-S0-NT-E001</x:t>
  </x:si>
  <x:si>
    <x:t xml:space="preserve">OPVAL-P7A-S0-NT</x:t>
  </x:si>
  <x:si>
    <x:t xml:space="preserve">P7A</x:t>
  </x:si>
  <x:si>
    <x:t xml:space="preserve">205 Stellar Court</x:t>
  </x:si>
  <x:si>
    <x:t xml:space="preserve">OPVAL-P7A-S0-NT-E002</x:t>
  </x:si>
  <x:si>
    <x:t xml:space="preserve">OPVAL-P7A-S0-NT-E003</x:t>
  </x:si>
  <x:si>
    <x:t xml:space="preserve">OPVAL-P7A-S0-NT-E004</x:t>
  </x:si>
  <x:si>
    <x:t xml:space="preserve">OPVAL-P7A-S0-NT-E005</x:t>
  </x:si>
  <x:si>
    <x:t xml:space="preserve">OPVAL-P7A-S0-NT-E006</x:t>
  </x:si>
  <x:si>
    <x:t xml:space="preserve">PASS — qualifying original. Flagged non-material comparable-field discrepancy: 193 Crosscove represented at approximately 2,069 SF rather than 2,059 SF. Retained under established decision-materiality QC standard.</x:t>
  </x:si>
  <x:si>
    <x:t xml:space="preserve">OPVAL-P7A-S0-NT-E007</x:t>
  </x:si>
  <x:si>
    <x:t xml:space="preserve">OPVAL-P7A-S0-NT-E008</x:t>
  </x:si>
  <x:si>
    <x:t xml:space="preserve">OPVAL-P7A-S0-NT-E009</x:t>
  </x:si>
  <x:si>
    <x:t xml:space="preserve">EXCLUDE / REPLACE — material Subject transaction-state reconstruction error: purchase-contract timing was reconstructed as early May rather than March 17 / 14 DOM, and the invented extended exposure was expressly treated as market resistance and used to move F downward from I.</x:t>
  </x:si>
  <x:si>
    <x:t xml:space="preserve">OPVAL-P7A-S0-NT-E010</x:t>
  </x:si>
  <x:si>
    <x:t xml:space="preserve">PASS — qualifying original. Subject represented at approximately 1,907 SF rather than 1,890 SF; ~0.9% discrepancy retained as non-material under established decision-materiality QC standard. Decision-material configuration and transaction state otherwise correctly reconstructed.</x:t>
  </x:si>
  <x:si>
    <x:t xml:space="preserve">OPVAL-P7A-S0-NT-E011</x:t>
  </x:si>
  <x:si>
    <x:t xml:space="preserve">PASS — qualifying replacement for R9. Correct Subject physical state and $599,000 list / March 3 start-showing / March 17 purchase-contract / 14-DOM transaction state; correctly interprets rapid contract formation rather than prolonged resistance. Minor 193 Crosscove comparable-area discrepancy retained as non-material.</x:t>
  </x:si>
  <x:si>
    <x:t xml:space="preserve">OPVAL-P8A-S0-NT-E001</x:t>
  </x:si>
  <x:si>
    <x:t xml:space="preserve">OPVAL-P8A-S0-NT</x:t>
  </x:si>
  <x:si>
    <x:t xml:space="preserve">P8A</x:t>
  </x:si>
  <x:si>
    <x:t xml:space="preserve">173 Crossroad Lakes Drive</x:t>
  </x:si>
  <x:si>
    <x:t xml:space="preserve">OPVAL-P8A-S0-NT-E002</x:t>
  </x:si>
  <x:si>
    <x:t xml:space="preserve">EXCLUDE / REPLACE — material Subject transaction-state reconstruction error: original list reconstructed as $789,000 and market exposure as approximately 99 days rather than $780,000 / 95 DOM; erroneous Subject market-state fields entered transaction reasoning.</x:t>
  </x:si>
  <x:si>
    <x:t xml:space="preserve">OPVAL-P8A-S0-NT-E003</x:t>
  </x:si>
  <x:si>
    <x:t xml:space="preserve">EXCLUDE / REPLACE — material Subject transaction-state reconstruction error: final asking-price state reconstructed as approximately $748,000 rather than $745,000 and explicitly used in Stage 4 transaction reasoning translating I to F.</x:t>
  </x:si>
  <x:si>
    <x:t xml:space="preserve">OPVAL-P8A-S0-NT-E004</x:t>
  </x:si>
  <x:si>
    <x:t xml:space="preserve">OPVAL-P8A-S0-NT-E005</x:t>
  </x:si>
  <x:si>
    <x:t xml:space="preserve">OPVAL-P8A-S0-NT-E006</x:t>
  </x:si>
  <x:si>
    <x:t xml:space="preserve">OPVAL-P8A-S0-NT-E007</x:t>
  </x:si>
  <x:si>
    <x:t xml:space="preserve">PASS — qualifying original. Subject lot represented at approximately 0.25 acre rather than controlling DSS/table figure; retained as non-material under established decision-materiality QC standard because core physical configuration and transaction state were correctly reconstructed.</x:t>
  </x:si>
  <x:si>
    <x:t xml:space="preserve">OPVAL-P8A-S0-NT-E008</x:t>
  </x:si>
  <x:si>
    <x:t xml:space="preserve">OPVAL-P8A-S0-NT-E009</x:t>
  </x:si>
  <x:si>
    <x:t xml:space="preserve">OPVAL-P8A-S0-NT-E010</x:t>
  </x:si>
  <x:si>
    <x:t xml:space="preserve">PASS — qualifying original. Subject lot represented at approximately 0.19 acre rather than controlling DSS/table figure; retained as non-material under established decision-materiality QC standard.</x:t>
  </x:si>
  <x:si>
    <x:t xml:space="preserve">OPVAL-P8A-S0-NT-E011</x:t>
  </x:si>
  <x:si>
    <x:t xml:space="preserve">PASS — qualifying replacement for R2. Correct Subject physical state and $780,000 original / $745,000 final / 95-DOM / May 3 purchase-contract transaction state.</x:t>
  </x:si>
  <x:si>
    <x:t xml:space="preserve">OPVAL-P8A-S0-NT-E012</x:t>
  </x:si>
  <x:si>
    <x:t xml:space="preserve">PASS — qualifying replacement for R3. Correct Subject physical state and $780,000 original / $745,000 final / 95-DOM / May 3 purchase-contract transaction state; transaction reasoning uses corrected state.</x:t>
  </x:si>
  <x:si>
    <x:t xml:space="preserve">OPVAL-P9A-S0-NT-E001</x:t>
  </x:si>
  <x:si>
    <x:t xml:space="preserve">OPVAL-P9A-S0-NT</x:t>
  </x:si>
  <x:si>
    <x:t xml:space="preserve">P9A</x:t>
  </x:si>
  <x:si>
    <x:t xml:space="preserve">120 Summer Tree Court</x:t>
  </x:si>
  <x:si>
    <x:t xml:space="preserve">OPVAL-P9A-S0-NT-E002</x:t>
  </x:si>
  <x:si>
    <x:t xml:space="preserve">OPVAL-P9A-S0-NT-E003</x:t>
  </x:si>
  <x:si>
    <x:t xml:space="preserve">OPVAL-P9A-S0-NT-E004</x:t>
  </x:si>
  <x:si>
    <x:t xml:space="preserve">OPVAL-P9A-S0-NT-E005</x:t>
  </x:si>
  <x:si>
    <x:t xml:space="preserve">OPVAL-P9A-S0-NT-E006</x:t>
  </x:si>
  <x:si>
    <x:t xml:space="preserve">OPVAL-P9A-S0-NT-E007</x:t>
  </x:si>
  <x:si>
    <x:t xml:space="preserve">OPVAL-P9A-S0-NT-E008</x:t>
  </x:si>
  <x:si>
    <x:t xml:space="preserve">OPVAL-P9A-S0-NT-E009</x:t>
  </x:si>
  <x:si>
    <x:t xml:space="preserve">EXCLUDE / REPLACE — catastrophic Subject-identity reconstruction failure. ER valued 104 Seaside Circle (~2,426 SF, 3/3, lakefront) as the designated Subject and treated actual P9A Subject 120 Summer Tree Court as a completed comparable with a purported ~$625,000 transaction outcome. Wrong DN instance and outcome-contaminating state inversion.</x:t>
  </x:si>
  <x:si>
    <x:t xml:space="preserve">OPVAL-P9A-S0-NT-E010</x:t>
  </x:si>
  <x:si>
    <x:t xml:space="preserve">OPVAL-P9A-S0-NT-E011</x:t>
  </x:si>
  <x:si>
    <x:t xml:space="preserve">PASS — qualifying replacement for R9. Correctly identifies 120 Summer Tree Court and reconstructs decision-material Subject state: 1,923 SF, 3/2, 2-car, ~0.24 acre, waterfront, no private pool; correct $725,000 original / $625,000 final / 107-DOM / Feb. 20 purchase-contract state. Outcome remains redacted.</x:t>
  </x:si>
  <x:si>
    <x:t xml:space="preserve">OPVAL-P1A-S0-T-E001</x:t>
  </x:si>
  <x:si>
    <x:t xml:space="preserve">OPVAL-P1A-S0-T</x:t>
  </x:si>
  <x:si>
    <x:t xml:space="preserve">OPVAL-P1A-S0-T-E002</x:t>
  </x:si>
  <x:si>
    <x:t xml:space="preserve">OPVAL-P1A-S0-T-E003</x:t>
  </x:si>
  <x:si>
    <x:t xml:space="preserve">OPVAL-P1A-S0-T-E004</x:t>
  </x:si>
  <x:si>
    <x:t xml:space="preserve">OPVAL-P1A-S0-T-E005</x:t>
  </x:si>
  <x:si>
    <x:t xml:space="preserve">OPVAL-P1A-S0-T-E006</x:t>
  </x:si>
  <x:si>
    <x:t xml:space="preserve">OPVAL-P1A-S0-T-E007</x:t>
  </x:si>
  <x:si>
    <x:t xml:space="preserve">OPVAL-P1A-S0-T-E008</x:t>
  </x:si>
  <x:si>
    <x:t xml:space="preserve">OPVAL-P1A-S0-T-E009</x:t>
  </x:si>
  <x:si>
    <x:t xml:space="preserve">OPVAL-P1A-S0-T-E010</x:t>
  </x:si>
  <x:si>
    <x:t xml:space="preserve">OPVAL-P2A-S0-T-E001</x:t>
  </x:si>
  <x:si>
    <x:t xml:space="preserve">OPVAL-P2A-S0-T</x:t>
  </x:si>
  <x:si>
    <x:t xml:space="preserve">PASS — chronology wording/tension involving reported 9 DOM versus calendar dates; controlling 9-DOM field acknowledged or not materially displaced; no demonstrated contamination of I/F.</x:t>
  </x:si>
  <x:si>
    <x:t xml:space="preserve">OPVAL-P2A-S0-T-E002</x:t>
  </x:si>
  <x:si>
    <x:t xml:space="preserve">OPVAL-P2A-S0-T-E003</x:t>
  </x:si>
  <x:si>
    <x:t xml:space="preserve">OPVAL-P2A-S0-T-E004</x:t>
  </x:si>
  <x:si>
    <x:t xml:space="preserve">OPVAL-P2A-S0-T-E005</x:t>
  </x:si>
  <x:si>
    <x:t xml:space="preserve">OPVAL-P2A-S0-T-E006</x:t>
  </x:si>
  <x:si>
    <x:t xml:space="preserve">OPVAL-P2A-S0-T-E007</x:t>
  </x:si>
  <x:si>
    <x:t xml:space="preserve">OPVAL-P2A-S0-T-E008</x:t>
  </x:si>
  <x:si>
    <x:t xml:space="preserve">OPVAL-P2A-S0-T-E009</x:t>
  </x:si>
  <x:si>
    <x:t xml:space="preserve">OPVAL-P2A-S0-T-E010</x:t>
  </x:si>
  <x:si>
    <x:t xml:space="preserve">OPVAL-P3A-S0-T-E001</x:t>
  </x:si>
  <x:si>
    <x:t xml:space="preserve">OPVAL-P3A-S0-T</x:t>
  </x:si>
  <x:si>
    <x:t xml:space="preserve">OPVAL-P3A-S0-T-E002</x:t>
  </x:si>
  <x:si>
    <x:t xml:space="preserve">OPVAL-P3A-S0-T-E003</x:t>
  </x:si>
  <x:si>
    <x:t xml:space="preserve">OPVAL-P3A-S0-T-E004</x:t>
  </x:si>
  <x:si>
    <x:t xml:space="preserve">OPVAL-P3A-S0-T-E005</x:t>
  </x:si>
  <x:si>
    <x:t xml:space="preserve">EXCLUDE — independently established non-temporary-chat execution; substantive review found no additional reconstruction defect.</x:t>
  </x:si>
  <x:si>
    <x:t xml:space="preserve">OPVAL-P3A-S0-T-E006</x:t>
  </x:si>
  <x:si>
    <x:t xml:space="preserve">OPVAL-P3A-S0-T-E007</x:t>
  </x:si>
  <x:si>
    <x:t xml:space="preserve">OPVAL-P3A-S0-T-E008</x:t>
  </x:si>
  <x:si>
    <x:t xml:space="preserve">OPVAL-P3A-S0-T-E009</x:t>
  </x:si>
  <x:si>
    <x:t xml:space="preserve">OPVAL-P3A-S0-T-E010</x:t>
  </x:si>
  <x:si>
    <x:t xml:space="preserve">OPVAL-P3A-S0-T-E011</x:t>
  </x:si>
  <x:si>
    <x:t xml:space="preserve">OPVAL-P4A-S0-T-E001</x:t>
  </x:si>
  <x:si>
    <x:t xml:space="preserve">OPVAL-P4A-S0-T</x:t>
  </x:si>
  <x:si>
    <x:t xml:space="preserve">OPVAL-P4A-S0-T-E002</x:t>
  </x:si>
  <x:si>
    <x:t xml:space="preserve">OPVAL-P4A-S0-T-E003</x:t>
  </x:si>
  <x:si>
    <x:t xml:space="preserve">OPVAL-P4A-S0-T-E004</x:t>
  </x:si>
  <x:si>
    <x:t xml:space="preserve">OPVAL-P4A-S0-T-E005</x:t>
  </x:si>
  <x:si>
    <x:t xml:space="preserve">EXCLUDE — Subject reconstructed as having a 1.5-car garage and that fact was admitted into comparative reasoning; DSS establishes 2 garage spaces. No causal effect on I/F is asserted.</x:t>
  </x:si>
  <x:si>
    <x:t xml:space="preserve">OPVAL-P4A-S0-T-E006</x:t>
  </x:si>
  <x:si>
    <x:t xml:space="preserve">OPVAL-P4A-S0-T-E007</x:t>
  </x:si>
  <x:si>
    <x:t xml:space="preserve">OPVAL-P4A-S0-T-E008</x:t>
  </x:si>
  <x:si>
    <x:t xml:space="preserve">OPVAL-P4A-S0-T-E009</x:t>
  </x:si>
  <x:si>
    <x:t xml:space="preserve">OPVAL-P4A-S0-T-E010</x:t>
  </x:si>
  <x:si>
    <x:t xml:space="preserve">OPVAL-P4A-S0-T-E011</x:t>
  </x:si>
  <x:si>
    <x:t xml:space="preserve">Qualifying replacement for excluded original Run 5; normal substantive QC PASS.</x:t>
  </x:si>
  <x:si>
    <x:t xml:space="preserve">OPVAL-P5A-S0-T-E001</x:t>
  </x:si>
  <x:si>
    <x:t xml:space="preserve">OPVAL-P5A-S0-T</x:t>
  </x:si>
  <x:si>
    <x:t xml:space="preserve">OPVAL-P5A-S0-T-E002</x:t>
  </x:si>
  <x:si>
    <x:t xml:space="preserve">OPVAL-P5A-S0-T-E003</x:t>
  </x:si>
  <x:si>
    <x:t xml:space="preserve">OPVAL-P5A-S0-T-E004</x:t>
  </x:si>
  <x:si>
    <x:t xml:space="preserve">OPVAL-P5A-S0-T-E005</x:t>
  </x:si>
  <x:si>
    <x:t xml:space="preserve">OPVAL-P5A-S0-T-E006</x:t>
  </x:si>
  <x:si>
    <x:t xml:space="preserve">OPVAL-P5A-S0-T-E007</x:t>
  </x:si>
  <x:si>
    <x:t xml:space="preserve">OPVAL-P5A-S0-T-E008</x:t>
  </x:si>
  <x:si>
    <x:t xml:space="preserve">OPVAL-P5A-S0-T-E009</x:t>
  </x:si>
  <x:si>
    <x:t xml:space="preserve">OPVAL-P5A-S0-T-E010</x:t>
  </x:si>
  <x:si>
    <x:t xml:space="preserve">OPVAL-P6A-S0-T-E001</x:t>
  </x:si>
  <x:si>
    <x:t xml:space="preserve">OPVAL-P6A-S0-T</x:t>
  </x:si>
  <x:si>
    <x:t xml:space="preserve">OPVAL-P6A-S0-T-E002</x:t>
  </x:si>
  <x:si>
    <x:t xml:space="preserve">OPVAL-P6A-S0-T-E003</x:t>
  </x:si>
  <x:si>
    <x:t xml:space="preserve">OPVAL-P6A-S0-T-E004</x:t>
  </x:si>
  <x:si>
    <x:t xml:space="preserve">OPVAL-P6A-S0-T-E005</x:t>
  </x:si>
  <x:si>
    <x:t xml:space="preserve">OPVAL-P6A-S0-T-E006</x:t>
  </x:si>
  <x:si>
    <x:t xml:space="preserve">OPVAL-P6A-S0-T-E007</x:t>
  </x:si>
  <x:si>
    <x:t xml:space="preserve">OPVAL-P6A-S0-T-E008</x:t>
  </x:si>
  <x:si>
    <x:t xml:space="preserve">OPVAL-P6A-S0-T-E009</x:t>
  </x:si>
  <x:si>
    <x:t xml:space="preserve">OPVAL-P6A-S0-T-E010</x:t>
  </x:si>
  <x:si>
    <x:t xml:space="preserve">OPVAL-P7A-S0-T-E001</x:t>
  </x:si>
  <x:si>
    <x:t xml:space="preserve">OPVAL-P7A-S0-T</x:t>
  </x:si>
  <x:si>
    <x:t xml:space="preserve">OPVAL-P7A-S0-T-E002</x:t>
  </x:si>
  <x:si>
    <x:t xml:space="preserve">OPVAL-P7A-S0-T-E003</x:t>
  </x:si>
  <x:si>
    <x:t xml:space="preserve">OPVAL-P7A-S0-T-E004</x:t>
  </x:si>
  <x:si>
    <x:t xml:space="preserve">OPVAL-P7A-S0-T-E005</x:t>
  </x:si>
  <x:si>
    <x:t xml:space="preserve">OPVAL-P7A-S0-T-E006</x:t>
  </x:si>
  <x:si>
    <x:t xml:space="preserve">OPVAL-P7A-S0-T-E007</x:t>
  </x:si>
  <x:si>
    <x:t xml:space="preserve">OPVAL-P7A-S0-T-E008</x:t>
  </x:si>
  <x:si>
    <x:t xml:space="preserve">OPVAL-P7A-S0-T-E009</x:t>
  </x:si>
  <x:si>
    <x:t xml:space="preserve">OPVAL-P7A-S0-T-E010</x:t>
  </x:si>
  <x:si>
    <x:t xml:space="preserve">OPVAL-P8A-S0-T-E001</x:t>
  </x:si>
  <x:si>
    <x:t xml:space="preserve">OPVAL-P8A-S0-T</x:t>
  </x:si>
  <x:si>
    <x:t xml:space="preserve">OPVAL-P8A-S0-T-E002</x:t>
  </x:si>
  <x:si>
    <x:t xml:space="preserve">OPVAL-P8A-S0-T-E003</x:t>
  </x:si>
  <x:si>
    <x:t xml:space="preserve">OPVAL-P8A-S0-T-E004</x:t>
  </x:si>
  <x:si>
    <x:t xml:space="preserve">OPVAL-P8A-S0-T-E005</x:t>
  </x:si>
  <x:si>
    <x:t xml:space="preserve">OPVAL-P8A-S0-T-E006</x:t>
  </x:si>
  <x:si>
    <x:t xml:space="preserve">OPVAL-P8A-S0-T-E007</x:t>
  </x:si>
  <x:si>
    <x:t xml:space="preserve">OPVAL-P8A-S0-T-E008</x:t>
  </x:si>
  <x:si>
    <x:t xml:space="preserve">OPVAL-P8A-S0-T-E009</x:t>
  </x:si>
  <x:si>
    <x:t xml:space="preserve">OPVAL-P8A-S0-T-E010</x:t>
  </x:si>
  <x:si>
    <x:t xml:space="preserve">OPVAL-P9A-S0-T-E001</x:t>
  </x:si>
  <x:si>
    <x:t xml:space="preserve">OPVAL-P9A-S0-T</x:t>
  </x:si>
  <x:si>
    <x:t xml:space="preserve">OPVAL-P9A-S0-T-E002</x:t>
  </x:si>
  <x:si>
    <x:t xml:space="preserve">OPVAL-P9A-S0-T-E003</x:t>
  </x:si>
  <x:si>
    <x:t xml:space="preserve">OPVAL-P9A-S0-T-E004</x:t>
  </x:si>
  <x:si>
    <x:t xml:space="preserve">OPVAL-P9A-S0-T-E005</x:t>
  </x:si>
  <x:si>
    <x:t xml:space="preserve">OPVAL-P9A-S0-T-E006</x:t>
  </x:si>
  <x:si>
    <x:t xml:space="preserve">OPVAL-P9A-S0-T-E007</x:t>
  </x:si>
  <x:si>
    <x:t xml:space="preserve">OPVAL-P9A-S0-T-E008</x:t>
  </x:si>
  <x:si>
    <x:t xml:space="preserve">OPVAL-P9A-S0-T-E009</x:t>
  </x:si>
  <x:si>
    <x:t xml:space="preserve">OPVAL-P9A-S0-T-E010</x:t>
  </x:si>
  <x:si>
    <x:t xml:space="preserve">PROSP-P1P-S0-T-E001</x:t>
  </x:si>
  <x:si>
    <x:t xml:space="preserve">PROSP-P1P-S0-T</x:t>
  </x:si>
  <x:si>
    <x:t xml:space="preserve">PROSP</x:t>
  </x:si>
  <x:si>
    <x:t xml:space="preserve">P1P</x:t>
  </x:si>
  <x:si>
    <x:t xml:space="preserve">QC reviewed; factual reconciliation to frozen structured table; Limited sufficiency not a QC defect. Outcome Y withheld.</x:t>
  </x:si>
  <x:si>
    <x:t xml:space="preserve">Full ER-native record</x:t>
  </x:si>
  <x:si>
    <x:t xml:space="preserve">PROSP-P1P-S0-T-E002</x:t>
  </x:si>
  <x:si>
    <x:t xml:space="preserve">PROSP-P1P-S0-T-E003</x:t>
  </x:si>
  <x:si>
    <x:t xml:space="preserve">PROSP-P1P-S0-T-E004</x:t>
  </x:si>
  <x:si>
    <x:t xml:space="preserve">PROSP-P1P-S0-T-E005</x:t>
  </x:si>
  <x:si>
    <x:t xml:space="preserve">PROSP-P1P-S0-T-E006</x:t>
  </x:si>
  <x:si>
    <x:t xml:space="preserve">PROSP-P1P-S0-T-E007</x:t>
  </x:si>
  <x:si>
    <x:t xml:space="preserve">PROSP-P1P-S0-T-E008</x:t>
  </x:si>
  <x:si>
    <x:t xml:space="preserve">PROSP-P1P-S0-T-E009</x:t>
  </x:si>
  <x:si>
    <x:t xml:space="preserve">PROSP-P1P-S0-T-E010</x:t>
  </x:si>
</x:sst>
</file>

<file path=xl/styles.xml><?xml version="1.0" encoding="utf-8"?>
<x:styleSheet xmlns:x="http://schemas.openxmlformats.org/spreadsheetml/2006/main">
  <x:numFmts count="2">
    <x:numFmt numFmtId="164" formatCode="&quot;$&quot;#,##0"/>
    <x:numFmt numFmtId="200" formatCode="0.0%"/>
  </x:numFmts>
  <x:fonts count="7">
    <x:font>
      <x:sz val="11"/>
      <x:name val="Carlito"/>
    </x:font>
    <x:font>
      <x:b/>
      <x:sz val="11"/>
      <x:color rgb="FFFFFFFF"/>
      <x:name val="Carlito"/>
    </x:font>
    <x:font>
      <x:b/>
      <x:sz val="11"/>
      <x:name val="Carlito"/>
    </x:font>
    <x:font>
      <x:sz val="11"/>
      <x:name val="Carlito"/>
    </x:font>
    <x:font>
      <x:b/>
      <x:sz val="11"/>
      <x:color rgb="FFFFFFFF"/>
      <x:name val="Carlito"/>
    </x:font>
    <x:font>
      <x:sz val="11"/>
      <x:name val="Carlito"/>
    </x:font>
    <x:font>
      <x:b/>
      <x:sz val="11"/>
      <x:color rgb="FFFFFFFF"/>
      <x:name val="Carlito"/>
    </x:font>
  </x:fonts>
  <x:fills count="11">
    <x:fill>
      <x:patternFill patternType="none"/>
    </x:fill>
    <x:fill>
      <x:patternFill patternType="gray125"/>
    </x:fill>
    <x:fill>
      <x:patternFill patternType="solid">
        <x:fgColor rgb="FF17365D"/>
      </x:patternFill>
    </x:fill>
    <x:fill>
      <x:patternFill patternType="solid">
        <x:fgColor rgb="FF1F4E79"/>
      </x:patternFill>
    </x:fill>
    <x:fill>
      <x:patternFill patternType="solid">
        <x:fgColor rgb="FFE4EFF7"/>
      </x:patternFill>
    </x:fill>
    <x:fill>
      <x:patternFill patternType="none"/>
    </x:fill>
    <x:fill>
      <x:patternFill patternType="gray125"/>
    </x:fill>
    <x:fill>
      <x:patternFill patternType="solid">
        <x:fgColor rgb="FF17365D"/>
      </x:patternFill>
    </x:fill>
    <x:fill>
      <x:patternFill patternType="none"/>
    </x:fill>
    <x:fill>
      <x:patternFill patternType="gray125"/>
    </x:fill>
    <x:fill>
      <x:patternFill patternType="solid">
        <x:fgColor rgb="FF17365D"/>
      </x:patternFill>
    </x:fill>
  </x:fills>
  <x:borders count="3">
    <x:border>
      <x:left/>
      <x:right/>
      <x:top/>
      <x:bottom/>
      <x:diagonal/>
    </x:border>
    <x:border>
      <x:left/>
      <x:right/>
      <x:top/>
      <x:bottom/>
      <x:diagonal/>
    </x:border>
    <x:border>
      <x:left/>
      <x:right/>
      <x:top/>
      <x:bottom/>
      <x:diagonal/>
    </x:border>
  </x:borders>
  <x:cellStyleXfs count="3">
    <x:xf numFmtId="0" fontId="0" fillId="0" borderId="0"/>
    <x:xf numFmtId="0" fontId="3" fillId="5" borderId="1"/>
    <x:xf numFmtId="0" fontId="5" fillId="8" borderId="2"/>
  </x:cellStyleXfs>
  <x:cellXfs count="67">
    <x:xf numFmtId="0" fontId="0" fillId="0" borderId="0" xfId="0"/>
    <x:xf numFmtId="0" fontId="1" fillId="2" borderId="0" xfId="0" applyFont="1" applyFill="1"/>
    <x:xf numFmtId="10" fontId="0" fillId="0" borderId="0" xfId="0" applyNumberFormat="1"/>
    <x:xf numFmtId="0" fontId="1" fillId="2" borderId="0" xfId="0" applyFont="1" applyFill="1" applyAlignment="1">
      <x:alignment horizontal="center"/>
    </x:xf>
    <x:xf numFmtId="0" fontId="0" fillId="0" borderId="0" xfId="0" applyAlignment="1">
      <x:alignment horizontal="center"/>
    </x:xf>
    <x:xf numFmtId="0" fontId="1" fillId="2" borderId="0" xfId="0" applyFont="1" applyFill="1" applyAlignment="1">
      <x:alignment wrapText="1"/>
    </x:xf>
    <x:xf numFmtId="0" fontId="1" fillId="2" borderId="0" xfId="0" applyFont="1" applyFill="1" applyAlignment="1">
      <x:alignment horizontal="center" wrapText="1"/>
    </x:xf>
    <x:xf numFmtId="0" fontId="0" fillId="0" borderId="0" xfId="0" applyAlignment="1">
      <x:alignment wrapText="1"/>
    </x:xf>
    <x:xf numFmtId="0" fontId="1" fillId="2" borderId="0" xfId="0" applyFont="1" applyFill="1" applyAlignment="1">
      <x:alignment horizontal="right" wrapText="1"/>
    </x:xf>
    <x:xf numFmtId="0" fontId="1" fillId="2" borderId="0" xfId="0" applyFont="1" applyFill="1" applyAlignment="1">
      <x:alignment horizontal="right"/>
    </x:xf>
    <x:xf numFmtId="0" fontId="0" fillId="0" borderId="0" xfId="0" applyAlignment="1">
      <x:alignment horizontal="right" wrapText="1"/>
    </x:xf>
    <x:xf numFmtId="0" fontId="0" fillId="0" borderId="0" xfId="0" applyAlignment="1">
      <x:alignment horizontal="center" wrapText="1"/>
    </x:xf>
    <x:xf numFmtId="164" fontId="1" fillId="2" borderId="0" xfId="0" applyNumberFormat="1" applyFont="1" applyFill="1" applyAlignment="1">
      <x:alignment wrapText="1"/>
    </x:xf>
    <x:xf numFmtId="164" fontId="0" fillId="0" borderId="0" xfId="0" applyNumberFormat="1"/>
    <x:xf numFmtId="164" fontId="0" fillId="0" borderId="0" xfId="0" applyNumberFormat="1" applyAlignment="1">
      <x:alignment wrapText="1"/>
    </x:xf>
    <x:xf numFmtId="0" fontId="1" fillId="3" borderId="0" xfId="0" applyNumberFormat="1" applyFont="1" applyFill="1" applyBorder="1"/>
    <x:xf numFmtId="0" fontId="1" fillId="3" borderId="0" xfId="0" applyNumberFormat="1" applyFont="1" applyFill="1" applyBorder="1" applyAlignment="1">
      <x:alignment horizontal="right"/>
    </x:xf>
    <x:xf numFmtId="0" fontId="1" fillId="3" borderId="0" xfId="0" applyNumberFormat="1" applyFont="1" applyFill="1" applyBorder="1" applyAlignment="1">
      <x:alignment horizontal="center"/>
    </x:xf>
    <x:xf numFmtId="0" fontId="0"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right" wrapText="1"/>
    </x:xf>
    <x:xf numFmtId="0" fontId="1" fillId="3" borderId="0" xfId="0" applyNumberFormat="1" applyFont="1" applyFill="1" applyBorder="1" applyAlignment="1">
      <x:alignment horizontal="center" wrapText="1"/>
    </x:xf>
    <x:xf numFmtId="0" fontId="0" fillId="4" borderId="0" xfId="0" applyNumberFormat="1" applyFont="1" applyFill="1" applyBorder="1"/>
    <x:xf numFmtId="10" fontId="0" fillId="4" borderId="0" xfId="0" applyNumberFormat="1" applyFont="1" applyFill="1" applyBorder="1"/>
    <x:xf numFmtId="0" fontId="0" fillId="4" borderId="0" xfId="0" applyNumberFormat="1" applyFont="1" applyFill="1" applyBorder="1" applyAlignment="1">
      <x:alignment horizontal="center"/>
    </x:xf>
    <x:xf numFmtId="0" fontId="2" fillId="4" borderId="0" xfId="0" applyNumberFormat="1" applyFont="1" applyFill="1" applyBorder="1"/>
    <x:xf numFmtId="10" fontId="2" fillId="4" borderId="0" xfId="0" applyNumberFormat="1" applyFont="1" applyFill="1" applyBorder="1"/>
    <x:xf numFmtId="200" fontId="2" fillId="4" borderId="0" xfId="0" applyNumberFormat="1" applyFont="1" applyFill="1" applyBorder="1"/>
    <x:xf numFmtId="200" fontId="0" fillId="0" borderId="0" xfId="0" applyNumberFormat="1" applyFont="1" applyFill="1" applyBorder="1"/>
    <x:xf numFmtId="0" fontId="0"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right" wrapText="1"/>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horizontal="right" vertical="center" wrapText="1"/>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horizontal="center" wrapText="1"/>
    </x:xf>
    <x:xf numFmtId="0" fontId="3" fillId="5" borderId="1" xfId="1"/>
    <x:xf numFmtId="0" fontId="4" fillId="7" borderId="1" xfId="1" applyFont="1" applyFill="1"/>
    <x:xf numFmtId="10" fontId="3" fillId="5" borderId="1" xfId="1" applyNumberFormat="1"/>
    <x:xf numFmtId="0" fontId="4" fillId="7" borderId="1" xfId="1" applyFont="1" applyFill="1" applyAlignment="1">
      <x:alignment horizontal="center"/>
    </x:xf>
    <x:xf numFmtId="0" fontId="3" fillId="5" borderId="1" xfId="1" applyAlignment="1">
      <x:alignment horizontal="center"/>
    </x:xf>
    <x:xf numFmtId="0" fontId="4" fillId="7" borderId="1" xfId="1" applyFont="1" applyFill="1" applyAlignment="1">
      <x:alignment wrapText="1"/>
    </x:xf>
    <x:xf numFmtId="0" fontId="4" fillId="7" borderId="1" xfId="1" applyFont="1" applyFill="1" applyAlignment="1">
      <x:alignment horizontal="center" wrapText="1"/>
    </x:xf>
    <x:xf numFmtId="0" fontId="3" fillId="5" borderId="1" xfId="1" applyAlignment="1">
      <x:alignment wrapText="1"/>
    </x:xf>
    <x:xf numFmtId="0" fontId="4" fillId="7" borderId="1" xfId="1" applyFont="1" applyFill="1" applyAlignment="1">
      <x:alignment horizontal="right" wrapText="1"/>
    </x:xf>
    <x:xf numFmtId="0" fontId="4" fillId="7" borderId="1" xfId="1" applyFont="1" applyFill="1" applyAlignment="1">
      <x:alignment horizontal="right"/>
    </x:xf>
    <x:xf numFmtId="0" fontId="3" fillId="5" borderId="1" xfId="1" applyAlignment="1">
      <x:alignment horizontal="right" wrapText="1"/>
    </x:xf>
    <x:xf numFmtId="0" fontId="3" fillId="5" borderId="1" xfId="1" applyAlignment="1">
      <x:alignment horizontal="center" wrapText="1"/>
    </x:xf>
    <x:xf numFmtId="164" fontId="4" fillId="7" borderId="1" xfId="1" applyNumberFormat="1" applyFont="1" applyFill="1" applyAlignment="1">
      <x:alignment wrapText="1"/>
    </x:xf>
    <x:xf numFmtId="164" fontId="3" fillId="5" borderId="1" xfId="1" applyNumberFormat="1"/>
    <x:xf numFmtId="164" fontId="3" fillId="5" borderId="1" xfId="1" applyNumberFormat="1" applyAlignment="1">
      <x:alignment wrapText="1"/>
    </x:xf>
    <x:xf numFmtId="0" fontId="5" fillId="8" borderId="2" xfId="2"/>
    <x:xf numFmtId="0" fontId="6" fillId="10" borderId="2" xfId="2" applyFont="1" applyFill="1"/>
    <x:xf numFmtId="10" fontId="5" fillId="8" borderId="2" xfId="2" applyNumberFormat="1"/>
    <x:xf numFmtId="0" fontId="6" fillId="10" borderId="2" xfId="2" applyFont="1" applyFill="1" applyAlignment="1">
      <x:alignment horizontal="center"/>
    </x:xf>
    <x:xf numFmtId="0" fontId="5" fillId="8" borderId="2" xfId="2" applyAlignment="1">
      <x:alignment horizontal="center"/>
    </x:xf>
    <x:xf numFmtId="0" fontId="6" fillId="10" borderId="2" xfId="2" applyFont="1" applyFill="1" applyAlignment="1">
      <x:alignment wrapText="1"/>
    </x:xf>
    <x:xf numFmtId="0" fontId="6" fillId="10" borderId="2" xfId="2" applyFont="1" applyFill="1" applyAlignment="1">
      <x:alignment horizontal="center" wrapText="1"/>
    </x:xf>
    <x:xf numFmtId="0" fontId="5" fillId="8" borderId="2" xfId="2" applyAlignment="1">
      <x:alignment wrapText="1"/>
    </x:xf>
    <x:xf numFmtId="0" fontId="6" fillId="10" borderId="2" xfId="2" applyFont="1" applyFill="1" applyAlignment="1">
      <x:alignment horizontal="right" wrapText="1"/>
    </x:xf>
    <x:xf numFmtId="0" fontId="6" fillId="10" borderId="2" xfId="2" applyFont="1" applyFill="1" applyAlignment="1">
      <x:alignment horizontal="right"/>
    </x:xf>
    <x:xf numFmtId="0" fontId="5" fillId="8" borderId="2" xfId="2" applyAlignment="1">
      <x:alignment horizontal="right" wrapText="1"/>
    </x:xf>
    <x:xf numFmtId="0" fontId="5" fillId="8" borderId="2" xfId="2" applyAlignment="1">
      <x:alignment horizontal="center" wrapText="1"/>
    </x:xf>
    <x:xf numFmtId="164" fontId="6" fillId="10" borderId="2" xfId="2" applyNumberFormat="1" applyFont="1" applyFill="1" applyAlignment="1">
      <x:alignment wrapText="1"/>
    </x:xf>
    <x:xf numFmtId="164" fontId="5" fillId="8" borderId="2" xfId="2" applyNumberFormat="1"/>
    <x:xf numFmtId="164" fontId="5" fillId="8" borderId="2" xfId="2" applyNumberFormat="1" applyAlignment="1">
      <x:alignment wrapText="1"/>
    </x:xf>
  </x:cellXfs>
  <x:cellStyles count="1">
    <x:cellStyle name="Normal" xfId="0"/>
  </x:cellStyles>
  <x:dxfs count="8">
    <x:dxf/>
    <x:dxf>
      <x:numFmt numFmtId="164" formatCode="&quot;$&quot;#,##0"/>
    </x:dxf>
    <x:dxf>
      <x:numFmt numFmtId="164" formatCode="&quot;$&quot;#,##0"/>
    </x:dxf>
    <x:dxf>
      <x:numFmt numFmtId="164" formatCode="&quot;$&quot;#,##0"/>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2806aba42e5d4054" /><Relationship Type="http://schemas.openxmlformats.org/officeDocument/2006/relationships/theme" Target="/xl/theme/theme1.xml" Id="Rfdc6bac3a0174bcf" /><Relationship Type="http://schemas.openxmlformats.org/officeDocument/2006/relationships/sharedStrings" Target="/xl/sharedStrings.xml" Id="Rcea6503e1a084361" /><Relationship Type="http://schemas.openxmlformats.org/officeDocument/2006/relationships/worksheet" Target="/xl/worksheets/sheet1.xml" Id="R39c28c82b80941be" /><Relationship Type="http://schemas.openxmlformats.org/officeDocument/2006/relationships/worksheet" Target="/xl/worksheets/sheet2.xml" Id="Rde43d8fb5bab4cc9"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Registry" displayName="tblRegistry" ref="A1:S518" totalsRowShown="0" headerRowDxfId="7">
  <autoFilter ref="A1:S518" xr:uid="{00000000-000C-0000-FFFF-FFFF00000000}">
    <filterColumn colId="2">
      <filters>
        <filter val="OPVAL"/>
      </filters>
    </filterColumn>
    <filterColumn colId="12">
      <filters>
        <filter val="No"/>
      </filters>
    </filterColumn>
  </autoFilter>
  <tableColumns count="19">
    <tableColumn id="1" xr3:uid="{00000000-0010-0000-0000-000001000000}" name="Record ID"/>
    <tableColumn id="2" xr3:uid="{00000000-0010-0000-0000-000002000000}" name="Cell ID"/>
    <tableColumn id="3" xr3:uid="{00000000-0010-0000-0000-000003000000}" name="Population"/>
    <tableColumn id="4" xr3:uid="{00000000-0010-0000-0000-000004000000}" name="Cohort Year" dataDxfId="6"/>
    <tableColumn id="5" xr3:uid="{00000000-0010-0000-0000-000005000000}" name="Property ID" dataDxfId="5"/>
    <tableColumn id="6" xr3:uid="{00000000-0010-0000-0000-000006000000}" name="Property"/>
    <tableColumn id="7" xr3:uid="{00000000-0010-0000-0000-000007000000}" name="Evidence Attachment"/>
    <tableColumn id="8" xr3:uid="{00000000-0010-0000-0000-000008000000}" name="Official Slot" dataDxfId="4"/>
    <tableColumn id="9" xr3:uid="{00000000-0010-0000-0000-000009000000}" name="Run"/>
    <tableColumn id="10" xr3:uid="{00000000-0010-0000-0000-00000A000000}" name="I" dataDxfId="3"/>
    <tableColumn id="11" xr3:uid="{00000000-0010-0000-0000-00000B000000}" name="F" dataDxfId="2"/>
    <tableColumn id="12" xr3:uid="{00000000-0010-0000-0000-00000C000000}" name="Y" dataDxfId="1"/>
    <tableColumn id="13" xr3:uid="{00000000-0010-0000-0000-00000D000000}" name="Official?" dataDxfId="0"/>
    <tableColumn id="14" xr3:uid="{00000000-0010-0000-0000-00000E000000}" name="Run Type"/>
    <tableColumn id="15" xr3:uid="{00000000-0010-0000-0000-00000F000000}" name="QC Disposition"/>
    <tableColumn id="16" xr3:uid="{00000000-0010-0000-0000-000010000000}" name="Replacement For"/>
    <tableColumn id="17" xr3:uid="{00000000-0010-0000-0000-000011000000}" name="Replacement Child"/>
    <tableColumn id="18" xr3:uid="{00000000-0010-0000-0000-000012000000}" name="QC Note"/>
    <tableColumn id="19" xr3:uid="{00000000-0010-0000-0000-000013000000}" name="Record Completenes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4.25"/>
  <x:cols>
    <x:col min="1" max="1" width="17" hidden="0" customWidth="1"/>
    <x:col min="2" max="2" width="18" hidden="0" customWidth="1"/>
    <x:col min="3" max="3" width="12" hidden="0" customWidth="1"/>
    <x:col min="4" max="5" width="18" customWidth="1"/>
    <x:col min="6" max="6" width="16" hidden="0" customWidth="1"/>
    <x:col min="7" max="7" width="18" style="4" hidden="0" customWidth="1"/>
    <x:col min="8" max="12" width="18" customWidth="1"/>
    <x:col min="4" max="4" width="12" hidden="0" customWidth="1"/>
    <x:col min="5" max="5" width="12" hidden="0" customWidth="1"/>
    <x:col min="8" max="8" width="24" hidden="0" customWidth="1"/>
    <x:col min="9" max="9" width="65" hidden="0" customWidth="1"/>
  </x:cols>
  <x:sheetData>
    <x:row r="1" ht="25" customHeight="1">
      <x:c r="A1" s="31" t="s">
        <x:v>0</x:v>
      </x:c>
      <x:c r="B1" s="31"/>
      <x:c r="C1" s="31"/>
      <x:c r="D1" s="31"/>
      <x:c r="E1" s="31"/>
      <x:c r="F1" s="31"/>
      <x:c r="G1" s="35"/>
      <x:c r="H1" s="31"/>
      <x:c r="I1" s="31"/>
      <x:c r="J1" s="1"/>
      <x:c r="K1" s="1"/>
      <x:c r="L1" s="1"/>
    </x:row>
    <x:row r="2" ht="30" customHeight="1">
      <x:c r="A2" s="30" t="str">
        <x:v>OPVAL is the primary Table / No Table comparison. LOOCV0 used different QC review procedures.</x:v>
      </x:c>
      <x:c r="B2" s="30"/>
      <x:c r="C2" s="30"/>
      <x:c r="D2" s="30"/>
      <x:c r="E2" s="30"/>
      <x:c r="F2" s="30"/>
      <x:c r="G2" s="36"/>
      <x:c r="H2" s="30"/>
      <x:c r="I2" s="30"/>
    </x:row>
    <x:row r="4" ht="33" customHeight="1">
      <x:c r="A4" s="19" t="s">
        <x:v>1</x:v>
      </x:c>
      <x:c r="B4" s="19" t="s">
        <x:v>2</x:v>
      </x:c>
      <x:c r="C4" s="20" t="s">
        <x:v>3</x:v>
      </x:c>
      <x:c r="D4" s="20" t="s">
        <x:v>4</x:v>
      </x:c>
      <x:c r="E4" s="20" t="s">
        <x:v>5</x:v>
      </x:c>
      <x:c r="F4" s="20" t="s">
        <x:v>6</x:v>
      </x:c>
      <x:c r="G4" s="21" t="str">
        <x:v>NT counterpart?</x:v>
      </x:c>
      <x:c r="H4" s="19" t="str">
        <x:v>Comparison status</x:v>
      </x:c>
      <x:c r="I4" s="19" t="str">
        <x:v>QC process / interpretation</x:v>
      </x:c>
    </x:row>
    <x:row r="5" ht="32" customHeight="1">
      <x:c r="A5" s="25" t="str">
        <x:v>OPVAL</x:v>
      </x:c>
      <x:c r="B5" s="25" t="str">
        <x:v>No Table</x:v>
      </x:c>
      <x:c r="C5" s="22" t="n">
        <x:f>COUNTIFS('S0 Registry Executions'!$C$2:$C$518,A5,'S0 Registry Executions'!$G$2:$G$518,B5,'S0 Registry Executions'!$M$2:$M$518,"Yes")</x:f>
        <x:v>90</x:v>
      </x:c>
      <x:c r="D5" s="22" t="n">
        <x:f>COUNTIFS('S0 Registry Executions'!$C$2:$C$518,A5,'S0 Registry Executions'!$G$2:$G$518,B5,'S0 Registry Executions'!$M$2:$M$518,"No")</x:f>
        <x:v>32</x:v>
      </x:c>
      <x:c r="E5" s="22" t="n">
        <x:f t="shared" ref="E5:E10" si="0">C5+D5</x:f>
        <x:v>122</x:v>
      </x:c>
      <x:c r="F5" s="27" t="n">
        <x:f t="shared" ref="F5:F10" si="1">IFERROR(D5/E5,0)</x:f>
        <x:v>0.26229508196721313</x:v>
      </x:c>
      <x:c r="G5" s="24" t="str">
        <x:v>Yes</x:v>
      </x:c>
      <x:c r="H5" s="22" t="str">
        <x:v>Primary comparison</x:v>
      </x:c>
      <x:c r="I5" s="29" t="str">
        <x:v>Most comparable QC review process across Table and No Table records.</x:v>
      </x:c>
    </x:row>
    <x:row r="6" ht="32" customHeight="1">
      <x:c r="A6" s="25" t="str">
        <x:v>OPVAL</x:v>
      </x:c>
      <x:c r="B6" s="25" t="str">
        <x:v>Table</x:v>
      </x:c>
      <x:c r="C6" s="22" t="n">
        <x:f>COUNTIFS('S0 Registry Executions'!$C$2:$C$518,A6,'S0 Registry Executions'!$G$2:$G$518,B6,'S0 Registry Executions'!$M$2:$M$518,"Yes")</x:f>
        <x:v>90</x:v>
      </x:c>
      <x:c r="D6" s="22" t="n">
        <x:f>COUNTIFS('S0 Registry Executions'!$C$2:$C$518,A6,'S0 Registry Executions'!$G$2:$G$518,B6,'S0 Registry Executions'!$M$2:$M$518,"No")</x:f>
        <x:v>2</x:v>
      </x:c>
      <x:c r="E6" s="22" t="n">
        <x:f t="shared" si="0">C6+D6</x:f>
        <x:v>92</x:v>
      </x:c>
      <x:c r="F6" s="27" t="n">
        <x:f t="shared" si="1">IFERROR(D6/E6,0)</x:f>
        <x:v>0.021739130434782608</x:v>
      </x:c>
      <x:c r="G6" s="24" t="str">
        <x:v>Yes</x:v>
      </x:c>
      <x:c r="H6" s="22" t="str">
        <x:v>Primary comparison</x:v>
      </x:c>
      <x:c r="I6" s="29" t="str">
        <x:v>Most comparable QC review process across Table and No Table records.</x:v>
      </x:c>
    </x:row>
    <x:row r="7" ht="32" customHeight="1">
      <x:c r="A7" t="str">
        <x:v>LOOCV0</x:v>
      </x:c>
      <x:c r="B7" t="str">
        <x:v>No Table</x:v>
      </x:c>
      <x:c r="C7" t="n">
        <x:f>COUNTIFS('S0 Registry Executions'!$C$2:$C$518,A7,'S0 Registry Executions'!$G$2:$G$518,B7,'S0 Registry Executions'!$M$2:$M$518,"Yes")</x:f>
        <x:v>90</x:v>
      </x:c>
      <x:c r="D7" t="n">
        <x:f>COUNTIFS('S0 Registry Executions'!$C$2:$C$518,A7,'S0 Registry Executions'!$G$2:$G$518,B7,'S0 Registry Executions'!$M$2:$M$518,"No")</x:f>
        <x:v>9</x:v>
      </x:c>
      <x:c r="E7" t="n">
        <x:f t="shared" si="0">C7+D7</x:f>
        <x:v>99</x:v>
      </x:c>
      <x:c r="F7" s="28" t="n">
        <x:f t="shared" si="1">IFERROR(D7/E7,0)</x:f>
        <x:v>0.09090909090909091</x:v>
      </x:c>
      <x:c r="G7" s="4" t="str">
        <x:v>Yes</x:v>
      </x:c>
      <x:c r="H7" t="str">
        <x:v>Limited comparability</x:v>
      </x:c>
      <x:c r="I7" s="30" t="str">
        <x:v>ER review did not use the table as a QC aid.</x:v>
      </x:c>
    </x:row>
    <x:row r="8" ht="32" customHeight="1">
      <x:c r="A8" t="str">
        <x:v>LOOCV0</x:v>
      </x:c>
      <x:c r="B8" t="str">
        <x:v>Table</x:v>
      </x:c>
      <x:c r="C8" t="n">
        <x:f>COUNTIFS('S0 Registry Executions'!$C$2:$C$518,A8,'S0 Registry Executions'!$G$2:$G$518,B8,'S0 Registry Executions'!$M$2:$M$518,"Yes")</x:f>
        <x:v>90</x:v>
      </x:c>
      <x:c r="D8" t="n">
        <x:f>COUNTIFS('S0 Registry Executions'!$C$2:$C$518,A8,'S0 Registry Executions'!$G$2:$G$518,B8,'S0 Registry Executions'!$M$2:$M$518,"No")</x:f>
        <x:v>3</x:v>
      </x:c>
      <x:c r="E8" t="n">
        <x:f t="shared" si="0">C8+D8</x:f>
        <x:v>93</x:v>
      </x:c>
      <x:c r="F8" s="28" t="n">
        <x:f t="shared" si="1">IFERROR(D8/E8,0)</x:f>
        <x:v>0.03225806451612903</x:v>
      </x:c>
      <x:c r="G8" s="4" t="str">
        <x:v>Yes</x:v>
      </x:c>
      <x:c r="H8" t="str">
        <x:v>Limited comparability</x:v>
      </x:c>
      <x:c r="I8" s="30" t="str">
        <x:v>ER review used the table as a QC aid.</x:v>
      </x:c>
    </x:row>
    <x:row r="9" ht="32" customHeight="1">
      <x:c r="A9" t="str">
        <x:v>LOOCV1</x:v>
      </x:c>
      <x:c r="B9" t="str">
        <x:v>Table</x:v>
      </x:c>
      <x:c r="C9" t="n">
        <x:f>COUNTIFS('S0 Registry Executions'!$C$2:$C$518,A9,'S0 Registry Executions'!$G$2:$G$518,B9,'S0 Registry Executions'!$M$2:$M$518,"Yes")</x:f>
        <x:v>90</x:v>
      </x:c>
      <x:c r="D9" t="n">
        <x:f>COUNTIFS('S0 Registry Executions'!$C$2:$C$518,A9,'S0 Registry Executions'!$G$2:$G$518,B9,'S0 Registry Executions'!$M$2:$M$518,"No")</x:f>
        <x:v>11</x:v>
      </x:c>
      <x:c r="E9" t="n">
        <x:f t="shared" si="0">C9+D9</x:f>
        <x:v>101</x:v>
      </x:c>
      <x:c r="F9" s="28" t="n">
        <x:f t="shared" si="1">IFERROR(D9/E9,0)</x:f>
        <x:v>0.10891089108910891</x:v>
      </x:c>
      <x:c r="G9" s="4" t="str">
        <x:v>No</x:v>
      </x:c>
      <x:c r="H9" t="str">
        <x:v>No NT counterpart</x:v>
      </x:c>
      <x:c r="I9" s="30" t="str">
        <x:v>No No Table population exists for this comparison.</x:v>
      </x:c>
    </x:row>
    <x:row r="10" ht="32" customHeight="1">
      <x:c r="A10" t="str">
        <x:v>PROSP</x:v>
      </x:c>
      <x:c r="B10" t="str">
        <x:v>Table</x:v>
      </x:c>
      <x:c r="C10" t="n">
        <x:f>COUNTIFS('S0 Registry Executions'!$C$2:$C$518,A10,'S0 Registry Executions'!$G$2:$G$518,B10,'S0 Registry Executions'!$M$2:$M$518,"Yes")</x:f>
        <x:v>10</x:v>
      </x:c>
      <x:c r="D10" t="n">
        <x:f>COUNTIFS('S0 Registry Executions'!$C$2:$C$518,A10,'S0 Registry Executions'!$G$2:$G$518,B10,'S0 Registry Executions'!$M$2:$M$518,"No")</x:f>
        <x:v>0</x:v>
      </x:c>
      <x:c r="E10" t="n">
        <x:f t="shared" si="0">C10+D10</x:f>
        <x:v>10</x:v>
      </x:c>
      <x:c r="F10" s="28" t="n">
        <x:f t="shared" si="1">IFERROR(D10/E10,0)</x:f>
        <x:v>0</x:v>
      </x:c>
      <x:c r="G10" s="4" t="str">
        <x:v>No</x:v>
      </x:c>
      <x:c r="H10" t="str">
        <x:v>No NT counterpart</x:v>
      </x:c>
      <x:c r="I10" s="30" t="str">
        <x:v>No No Table population exists for this comparison.</x:v>
      </x:c>
    </x:row>
    <x:row r="12" s="7" customFormat="1" ht="42" customHeight="1">
      <x:c r="A12" s="33" t="s">
        <x:v>7</x:v>
      </x:c>
      <x:c r="B12" s="34" t="s">
        <x:v>4</x:v>
      </x:c>
      <x:c r="C12" s="34" t="s">
        <x:v>5</x:v>
      </x:c>
      <x:c r="D12" s="34" t="s">
        <x:v>8</x:v>
      </x:c>
      <x:c r="E12" s="34" t="s">
        <x:v>3</x:v>
      </x:c>
      <x:c r="F12" s="33" t="s">
        <x:v>9</x:v>
      </x:c>
      <x:c r="G12" s="11"/>
    </x:row>
    <x:row r="13" ht="34" customHeight="1">
      <x:c r="A13" t="s">
        <x:v>10</x:v>
      </x:c>
      <x:c r="B13" t="n">
        <x:f>SUMIFS($D$5:$D$10,$B$5:$B$10,A13,$G$5:$G$10,"Yes")</x:f>
        <x:v>41</x:v>
      </x:c>
      <x:c r="C13" t="n">
        <x:f>SUMIFS($E$5:$E$10,$B$5:$B$10,A13,$G$5:$G$10,"Yes")</x:f>
        <x:v>221</x:v>
      </x:c>
      <x:c r="D13" s="28" t="n">
        <x:f>IFERROR(B13/C13,0)</x:f>
        <x:v>0.18552036199095023</x:v>
      </x:c>
      <x:c r="E13" t="n">
        <x:f>C13-B13</x:f>
        <x:v>180</x:v>
      </x:c>
      <x:c r="F13" t="s">
        <x:v>11</x:v>
      </x:c>
      <x:c r="H13" s="30" t="str">
        <x:v>Limited comparability</x:v>
      </x:c>
      <x:c r="I13" s="30" t="str">
        <x:v>Combined LOOCV0 + OPVAL rates inherit the LOOCV0 QC-process limitation.</x:v>
      </x:c>
    </x:row>
    <x:row r="14" ht="34" customHeight="1">
      <x:c r="A14" t="s">
        <x:v>12</x:v>
      </x:c>
      <x:c r="B14" t="n">
        <x:f>SUMIFS($D$5:$D$10,$B$5:$B$10,A14,$G$5:$G$10,"Yes")</x:f>
        <x:v>5</x:v>
      </x:c>
      <x:c r="C14" t="n">
        <x:f>SUMIFS($E$5:$E$10,$B$5:$B$10,A14,$G$5:$G$10,"Yes")</x:f>
        <x:v>185</x:v>
      </x:c>
      <x:c r="D14" s="28" t="n">
        <x:f>IFERROR(B14/C14,0)</x:f>
        <x:v>0.02702702702702703</x:v>
      </x:c>
      <x:c r="E14" t="n">
        <x:f>C14-B14</x:f>
        <x:v>180</x:v>
      </x:c>
      <x:c r="F14" t="s">
        <x:v>11</x:v>
      </x:c>
      <x:c r="H14" s="30" t="str">
        <x:v>Limited comparability</x:v>
      </x:c>
      <x:c r="I14" s="30" t="str">
        <x:v>LOOCV1 and PROSP are excluded because they have no NT counterpart.</x:v>
      </x:c>
    </x:row>
    <x:row r="17" ht="42" customHeight="1">
      <x:c r="A17" s="34" t="s">
        <x:v>13</x:v>
      </x:c>
      <x:c r="B17" s="34" t="s">
        <x:v>3</x:v>
      </x:c>
      <x:c r="C17" s="34" t="s">
        <x:v>4</x:v>
      </x:c>
      <x:c r="D17" s="34" t="s">
        <x:v>14</x:v>
      </x:c>
      <x:c r="E17" s="34" t="s">
        <x:v>15</x:v>
      </x:c>
      <x:c r="F17" s="34" t="s">
        <x:v>16</x:v>
      </x:c>
    </x:row>
    <x:row r="18">
      <x:c r="A18" t="n">
        <x:f>COUNTA('S0 Registry Executions'!A2:A518)</x:f>
        <x:v>517</x:v>
      </x:c>
      <x:c r="B18" t="n">
        <x:f>COUNTIF('S0 Registry Executions'!M2:M518,"Yes")</x:f>
        <x:v>460</x:v>
      </x:c>
      <x:c r="C18" t="n">
        <x:f>COUNTIF('S0 Registry Executions'!M2:M518,"No")</x:f>
        <x:v>57</x:v>
      </x:c>
      <x:c r="D18" t="n">
        <x:f>COUNTIF('S0 Registry Executions'!S2:S518,"Lineage only")</x:f>
        <x:v>10</x:v>
      </x:c>
      <x:c r="F18" t="n">
        <x:f>SUM(C13:C14)</x:f>
        <x:v>406</x:v>
      </x:c>
    </x:row>
    <x:row r="21" ht="30" customHeight="1">
      <x:c r="A21" s="30" t="str">
        <x:v>Observed exclusions are descriptive, not a controlled causal estimate. QC review procedures evolved.</x:v>
      </x:c>
      <x:c r="B21" s="30"/>
      <x:c r="C21" s="30"/>
      <x:c r="D21" s="30"/>
      <x:c r="E21" s="30"/>
      <x:c r="F21" s="30"/>
      <x:c r="G21" s="36"/>
      <x:c r="H21" s="30"/>
      <x:c r="I21" s="30"/>
    </x:row>
    <x:row r="22" ht="30" customHeight="1">
      <x:c r="A22" s="30" t="str">
        <x:v>LOOCV0 Table / No Table differences combine evidence representation with different QC detection procedures.</x:v>
      </x:c>
      <x:c r="B22" s="30"/>
      <x:c r="C22" s="30"/>
      <x:c r="D22" s="30"/>
      <x:c r="E22" s="30"/>
      <x:c r="F22" s="30"/>
      <x:c r="G22" s="36"/>
      <x:c r="H22" s="30"/>
      <x:c r="I22" s="30"/>
    </x:row>
    <x:row r="23" ht="30" customHeight="1">
      <x:c r="A23" s="30" t="str">
        <x:v>Public Registry population only. The additional P3 ensemble-size executions are outside this comparison.</x:v>
      </x:c>
      <x:c r="B23" s="30"/>
      <x:c r="C23" s="30"/>
      <x:c r="D23" s="30"/>
      <x:c r="E23" s="30"/>
      <x:c r="F23" s="30"/>
      <x:c r="G23" s="36"/>
      <x:c r="H23" s="30"/>
      <x:c r="I23" s="30"/>
    </x:row>
  </x:sheetData>
  <x:mergeCells>
    <x:mergeCell ref="A1:I1"/>
    <x:mergeCell ref="A2:I2"/>
    <x:mergeCell ref="A21:I21"/>
    <x:mergeCell ref="A22:I22"/>
    <x:mergeCell ref="A23:I23"/>
  </x:mergeCells>
  <x:pageMargins left="0.7" right="0.7" top="0.75" bottom="0.75" header="0.3" footer="0.3"/>
</x: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8"/>
  <sheetViews>
    <sheetView tabSelected="0" topLeftCell="G1" zoomScale="82" workbookViewId="0">
      <pane ySplit="1" topLeftCell="A296" activePane="bottomLeft" state="frozen"/>
      <selection pane="bottomLeft" activeCell="R296" sqref="R296:R365"/>
    </sheetView>
  </sheetViews>
  <sheetFormatPr defaultRowHeight="14.25"/>
  <cols>
    <col min="1" max="1" width="29" customWidth="1"/>
    <col min="2" max="2" width="25" customWidth="1"/>
    <col min="3" max="3" width="16" customWidth="1"/>
    <col min="4" max="4" width="10.875" style="56" customWidth="1"/>
    <col min="5" max="5" width="9.75" style="56" customWidth="1"/>
    <col min="6" max="6" width="28" customWidth="1"/>
    <col min="7" max="7" width="17" customWidth="1"/>
    <col min="8" max="8" width="10" style="62" customWidth="1"/>
    <col min="9" max="9" width="9.5" customWidth="1"/>
    <col min="10" max="12" width="15" style="65" customWidth="1"/>
    <col min="13" max="13" width="19" style="56" customWidth="1"/>
    <col min="14" max="14" width="14.25" customWidth="1"/>
    <col min="15" max="15" width="12.5" customWidth="1"/>
    <col min="16" max="17" width="12.75" customWidth="1"/>
    <col min="18" max="18" width="64" customWidth="1"/>
    <col min="19" max="19" width="19" customWidth="1"/>
  </cols>
  <sheetData>
    <row r="1" spans="1:19" s="59" customFormat="1" ht="30" customHeight="1">
      <c r="A1" s="57" t="inlineStr">
        <is>
          <t>Record ID</t>
        </is>
      </c>
      <c r="B1" s="57" t="inlineStr">
        <is>
          <t>Cell ID</t>
        </is>
      </c>
      <c r="C1" s="57" t="inlineStr">
        <is>
          <t>Population</t>
        </is>
      </c>
      <c r="D1" s="58" t="inlineStr">
        <is>
          <t>Cohort Year</t>
        </is>
      </c>
      <c r="E1" s="58" t="inlineStr">
        <is>
          <t>Property ID</t>
        </is>
      </c>
      <c r="F1" s="57" t="inlineStr">
        <is>
          <t>Property</t>
        </is>
      </c>
      <c r="G1" s="57" t="inlineStr">
        <is>
          <t>Evidence Attachment</t>
        </is>
      </c>
      <c r="H1" s="60" t="inlineStr">
        <is>
          <t>Official Slot</t>
        </is>
      </c>
      <c r="I1" s="57" t="inlineStr">
        <is>
          <t>Run</t>
        </is>
      </c>
      <c r="J1" s="64" t="inlineStr">
        <is>
          <t>I</t>
        </is>
      </c>
      <c r="K1" s="64" t="inlineStr">
        <is>
          <t>F</t>
        </is>
      </c>
      <c r="L1" s="64" t="inlineStr">
        <is>
          <t>Y</t>
        </is>
      </c>
      <c r="M1" s="58" t="inlineStr">
        <is>
          <t>Official?</t>
        </is>
      </c>
      <c r="N1" s="57" t="inlineStr">
        <is>
          <t>Run Type</t>
        </is>
      </c>
      <c r="O1" s="57" t="inlineStr">
        <is>
          <t>QC Disposition</t>
        </is>
      </c>
      <c r="P1" s="57" t="inlineStr">
        <is>
          <t>Replacement For</t>
        </is>
      </c>
      <c r="Q1" s="57" t="inlineStr">
        <is>
          <t>Replacement Child</t>
        </is>
      </c>
      <c r="R1" s="57" t="inlineStr">
        <is>
          <t>QC Note</t>
        </is>
      </c>
      <c r="S1" s="57" t="inlineStr">
        <is>
          <t>Record Completeness</t>
        </is>
      </c>
    </row>
    <row r="2" spans="1:19" hidden="1">
      <c r="A2" t="inlineStr">
        <is>
          <t>LOOCV0-P1-S0-NT-E001</t>
        </is>
      </c>
      <c r="B2" t="inlineStr">
        <is>
          <t>LOOCV0-P1-S0-NT</t>
        </is>
      </c>
      <c r="C2" t="inlineStr">
        <is>
          <t>LOOCV0</t>
        </is>
      </c>
      <c r="D2" s="56">
        <v>2025</v>
      </c>
      <c r="E2" s="56" t="inlineStr">
        <is>
          <t>P1</t>
        </is>
      </c>
      <c r="F2" t="inlineStr">
        <is>
          <t>109 Patrick Mill Circle</t>
        </is>
      </c>
      <c r="G2" t="inlineStr">
        <is>
          <t>No Table</t>
        </is>
      </c>
      <c r="I2">
        <v>1</v>
      </c>
      <c r="L2" s="65">
        <v>518700</v>
      </c>
      <c r="M2" s="56" t="inlineStr">
        <is>
          <t>No</t>
        </is>
      </c>
      <c r="N2" t="inlineStr">
        <is>
          <t>Original</t>
        </is>
      </c>
      <c r="O2" t="inlineStr">
        <is>
          <t>EXCLUDE</t>
        </is>
      </c>
      <c r="Q2">
        <v>11</v>
      </c>
      <c r="R2" t="inlineStr">
        <is>
          <t>Historical displaced execution inferred from replacement lineage; ER-native outputs not present on authoritative official ledger.</t>
        </is>
      </c>
      <c r="S2" t="inlineStr">
        <is>
          <t>Lineage only</t>
        </is>
      </c>
    </row>
    <row r="3" spans="1:19" hidden="1">
      <c r="A3" t="inlineStr">
        <is>
          <t>LOOCV0-P1-S0-NT-E002</t>
        </is>
      </c>
      <c r="B3" t="inlineStr">
        <is>
          <t>LOOCV0-P1-S0-NT</t>
        </is>
      </c>
      <c r="C3" t="inlineStr">
        <is>
          <t>LOOCV0</t>
        </is>
      </c>
      <c r="D3" s="56">
        <v>2025</v>
      </c>
      <c r="E3" s="56" t="inlineStr">
        <is>
          <t>P1</t>
        </is>
      </c>
      <c r="F3" t="inlineStr">
        <is>
          <t>109 Patrick Mill Circle</t>
        </is>
      </c>
      <c r="G3" t="inlineStr">
        <is>
          <t>No Table</t>
        </is>
      </c>
      <c r="H3" s="62">
        <v>2</v>
      </c>
      <c r="I3">
        <v>2</v>
      </c>
      <c r="J3" s="65">
        <v>540000</v>
      </c>
      <c r="K3" s="65">
        <v>550000</v>
      </c>
      <c r="L3" s="65">
        <v>518700</v>
      </c>
      <c r="M3" s="56" t="inlineStr">
        <is>
          <t>Yes</t>
        </is>
      </c>
      <c r="N3" t="inlineStr">
        <is>
          <t>Original</t>
        </is>
      </c>
      <c r="O3" t="inlineStr">
        <is>
          <t>QUALIFY</t>
        </is>
      </c>
      <c r="S3" t="inlineStr">
        <is>
          <t>Full ledger row</t>
        </is>
      </c>
    </row>
    <row r="4" spans="1:19" hidden="1">
      <c r="A4" t="inlineStr">
        <is>
          <t>LOOCV0-P1-S0-NT-E003</t>
        </is>
      </c>
      <c r="B4" t="inlineStr">
        <is>
          <t>LOOCV0-P1-S0-NT</t>
        </is>
      </c>
      <c r="C4" t="inlineStr">
        <is>
          <t>LOOCV0</t>
        </is>
      </c>
      <c r="D4" s="56">
        <v>2025</v>
      </c>
      <c r="E4" s="56" t="inlineStr">
        <is>
          <t>P1</t>
        </is>
      </c>
      <c r="F4" t="inlineStr">
        <is>
          <t>109 Patrick Mill Circle</t>
        </is>
      </c>
      <c r="G4" t="inlineStr">
        <is>
          <t>No Table</t>
        </is>
      </c>
      <c r="H4" s="62">
        <v>3</v>
      </c>
      <c r="I4">
        <v>3</v>
      </c>
      <c r="J4" s="65">
        <v>565000</v>
      </c>
      <c r="K4" s="65">
        <v>560000</v>
      </c>
      <c r="L4" s="65">
        <v>518700</v>
      </c>
      <c r="M4" s="56" t="inlineStr">
        <is>
          <t>Yes</t>
        </is>
      </c>
      <c r="N4" t="inlineStr">
        <is>
          <t>Original</t>
        </is>
      </c>
      <c r="O4" t="inlineStr">
        <is>
          <t>QUALIFY</t>
        </is>
      </c>
      <c r="S4" t="inlineStr">
        <is>
          <t>Full ledger row</t>
        </is>
      </c>
    </row>
    <row r="5" spans="1:19" hidden="1">
      <c r="A5" t="inlineStr">
        <is>
          <t>LOOCV0-P1-S0-NT-E004</t>
        </is>
      </c>
      <c r="B5" t="inlineStr">
        <is>
          <t>LOOCV0-P1-S0-NT</t>
        </is>
      </c>
      <c r="C5" t="inlineStr">
        <is>
          <t>LOOCV0</t>
        </is>
      </c>
      <c r="D5" s="56">
        <v>2025</v>
      </c>
      <c r="E5" s="56" t="inlineStr">
        <is>
          <t>P1</t>
        </is>
      </c>
      <c r="F5" t="inlineStr">
        <is>
          <t>109 Patrick Mill Circle</t>
        </is>
      </c>
      <c r="G5" t="inlineStr">
        <is>
          <t>No Table</t>
        </is>
      </c>
      <c r="H5" s="62">
        <v>4</v>
      </c>
      <c r="I5">
        <v>4</v>
      </c>
      <c r="J5" s="65">
        <v>540000</v>
      </c>
      <c r="K5" s="65">
        <v>548000</v>
      </c>
      <c r="L5" s="65">
        <v>518700</v>
      </c>
      <c r="M5" s="56" t="inlineStr">
        <is>
          <t>Yes</t>
        </is>
      </c>
      <c r="N5" t="inlineStr">
        <is>
          <t>Original</t>
        </is>
      </c>
      <c r="O5" t="inlineStr">
        <is>
          <t>QUALIFY</t>
        </is>
      </c>
      <c r="S5" t="inlineStr">
        <is>
          <t>Full ledger row</t>
        </is>
      </c>
    </row>
    <row r="6" spans="1:19" hidden="1">
      <c r="A6" t="inlineStr">
        <is>
          <t>LOOCV0-P1-S0-NT-E005</t>
        </is>
      </c>
      <c r="B6" t="inlineStr">
        <is>
          <t>LOOCV0-P1-S0-NT</t>
        </is>
      </c>
      <c r="C6" t="inlineStr">
        <is>
          <t>LOOCV0</t>
        </is>
      </c>
      <c r="D6" s="56">
        <v>2025</v>
      </c>
      <c r="E6" s="56" t="inlineStr">
        <is>
          <t>P1</t>
        </is>
      </c>
      <c r="F6" t="inlineStr">
        <is>
          <t>109 Patrick Mill Circle</t>
        </is>
      </c>
      <c r="G6" t="inlineStr">
        <is>
          <t>No Table</t>
        </is>
      </c>
      <c r="H6" s="62">
        <v>5</v>
      </c>
      <c r="I6">
        <v>5</v>
      </c>
      <c r="J6" s="65">
        <v>555000</v>
      </c>
      <c r="K6" s="65">
        <v>550000</v>
      </c>
      <c r="L6" s="65">
        <v>518700</v>
      </c>
      <c r="M6" s="56" t="inlineStr">
        <is>
          <t>Yes</t>
        </is>
      </c>
      <c r="N6" t="inlineStr">
        <is>
          <t>Original</t>
        </is>
      </c>
      <c r="O6" t="inlineStr">
        <is>
          <t>QUALIFY</t>
        </is>
      </c>
      <c r="S6" t="inlineStr">
        <is>
          <t>Full ledger row</t>
        </is>
      </c>
    </row>
    <row r="7" spans="1:19" hidden="1">
      <c r="A7" t="inlineStr">
        <is>
          <t>LOOCV0-P1-S0-NT-E006</t>
        </is>
      </c>
      <c r="B7" t="inlineStr">
        <is>
          <t>LOOCV0-P1-S0-NT</t>
        </is>
      </c>
      <c r="C7" t="inlineStr">
        <is>
          <t>LOOCV0</t>
        </is>
      </c>
      <c r="D7" s="56">
        <v>2025</v>
      </c>
      <c r="E7" s="56" t="inlineStr">
        <is>
          <t>P1</t>
        </is>
      </c>
      <c r="F7" t="inlineStr">
        <is>
          <t>109 Patrick Mill Circle</t>
        </is>
      </c>
      <c r="G7" t="inlineStr">
        <is>
          <t>No Table</t>
        </is>
      </c>
      <c r="H7" s="62">
        <v>6</v>
      </c>
      <c r="I7">
        <v>6</v>
      </c>
      <c r="J7" s="65">
        <v>545000</v>
      </c>
      <c r="K7" s="65">
        <v>550000</v>
      </c>
      <c r="L7" s="65">
        <v>518700</v>
      </c>
      <c r="M7" s="56" t="inlineStr">
        <is>
          <t>Yes</t>
        </is>
      </c>
      <c r="N7" t="inlineStr">
        <is>
          <t>Original</t>
        </is>
      </c>
      <c r="O7" t="inlineStr">
        <is>
          <t>QUALIFY</t>
        </is>
      </c>
      <c r="S7" t="inlineStr">
        <is>
          <t>Full ledger row</t>
        </is>
      </c>
    </row>
    <row r="8" spans="1:19" hidden="1">
      <c r="A8" t="inlineStr">
        <is>
          <t>LOOCV0-P1-S0-NT-E007</t>
        </is>
      </c>
      <c r="B8" t="inlineStr">
        <is>
          <t>LOOCV0-P1-S0-NT</t>
        </is>
      </c>
      <c r="C8" t="inlineStr">
        <is>
          <t>LOOCV0</t>
        </is>
      </c>
      <c r="D8" s="56">
        <v>2025</v>
      </c>
      <c r="E8" s="56" t="inlineStr">
        <is>
          <t>P1</t>
        </is>
      </c>
      <c r="F8" t="inlineStr">
        <is>
          <t>109 Patrick Mill Circle</t>
        </is>
      </c>
      <c r="G8" t="inlineStr">
        <is>
          <t>No Table</t>
        </is>
      </c>
      <c r="I8">
        <v>7</v>
      </c>
      <c r="L8" s="65">
        <v>518700</v>
      </c>
      <c r="M8" s="56" t="inlineStr">
        <is>
          <t>No</t>
        </is>
      </c>
      <c r="N8" t="inlineStr">
        <is>
          <t>Original</t>
        </is>
      </c>
      <c r="O8" t="inlineStr">
        <is>
          <t>EXCLUDE</t>
        </is>
      </c>
      <c r="Q8">
        <v>12</v>
      </c>
      <c r="R8" t="inlineStr">
        <is>
          <t>Historical displaced execution inferred from replacement lineage; ER-native outputs not present on authoritative official ledger.</t>
        </is>
      </c>
      <c r="S8" t="inlineStr">
        <is>
          <t>Lineage only</t>
        </is>
      </c>
    </row>
    <row r="9" spans="1:19" hidden="1">
      <c r="A9" t="inlineStr">
        <is>
          <t>LOOCV0-P1-S0-NT-E008</t>
        </is>
      </c>
      <c r="B9" t="inlineStr">
        <is>
          <t>LOOCV0-P1-S0-NT</t>
        </is>
      </c>
      <c r="C9" t="inlineStr">
        <is>
          <t>LOOCV0</t>
        </is>
      </c>
      <c r="D9" s="56">
        <v>2025</v>
      </c>
      <c r="E9" s="56" t="inlineStr">
        <is>
          <t>P1</t>
        </is>
      </c>
      <c r="F9" t="inlineStr">
        <is>
          <t>109 Patrick Mill Circle</t>
        </is>
      </c>
      <c r="G9" t="inlineStr">
        <is>
          <t>No Table</t>
        </is>
      </c>
      <c r="H9" s="62">
        <v>8</v>
      </c>
      <c r="I9">
        <v>8</v>
      </c>
      <c r="J9" s="65">
        <v>550000</v>
      </c>
      <c r="K9" s="65">
        <v>545000</v>
      </c>
      <c r="L9" s="65">
        <v>518700</v>
      </c>
      <c r="M9" s="56" t="inlineStr">
        <is>
          <t>Yes</t>
        </is>
      </c>
      <c r="N9" t="inlineStr">
        <is>
          <t>Original</t>
        </is>
      </c>
      <c r="O9" t="inlineStr">
        <is>
          <t>QUALIFY</t>
        </is>
      </c>
      <c r="S9" t="inlineStr">
        <is>
          <t>Full ledger row</t>
        </is>
      </c>
    </row>
    <row r="10" spans="1:19" hidden="1">
      <c r="A10" t="inlineStr">
        <is>
          <t>LOOCV0-P1-S0-NT-E009</t>
        </is>
      </c>
      <c r="B10" t="inlineStr">
        <is>
          <t>LOOCV0-P1-S0-NT</t>
        </is>
      </c>
      <c r="C10" t="inlineStr">
        <is>
          <t>LOOCV0</t>
        </is>
      </c>
      <c r="D10" s="56">
        <v>2025</v>
      </c>
      <c r="E10" s="56" t="inlineStr">
        <is>
          <t>P1</t>
        </is>
      </c>
      <c r="F10" t="inlineStr">
        <is>
          <t>109 Patrick Mill Circle</t>
        </is>
      </c>
      <c r="G10" t="inlineStr">
        <is>
          <t>No Table</t>
        </is>
      </c>
      <c r="H10" s="62">
        <v>9</v>
      </c>
      <c r="I10">
        <v>9</v>
      </c>
      <c r="J10" s="65">
        <v>560000</v>
      </c>
      <c r="K10" s="65">
        <v>555000</v>
      </c>
      <c r="L10" s="65">
        <v>518700</v>
      </c>
      <c r="M10" s="56" t="inlineStr">
        <is>
          <t>Yes</t>
        </is>
      </c>
      <c r="N10" t="inlineStr">
        <is>
          <t>Original</t>
        </is>
      </c>
      <c r="O10" t="inlineStr">
        <is>
          <t>QUALIFY</t>
        </is>
      </c>
      <c r="S10" t="inlineStr">
        <is>
          <t>Full ledger row</t>
        </is>
      </c>
    </row>
    <row r="11" spans="1:19" hidden="1">
      <c r="A11" t="inlineStr">
        <is>
          <t>LOOCV0-P1-S0-NT-E010</t>
        </is>
      </c>
      <c r="B11" t="inlineStr">
        <is>
          <t>LOOCV0-P1-S0-NT</t>
        </is>
      </c>
      <c r="C11" t="inlineStr">
        <is>
          <t>LOOCV0</t>
        </is>
      </c>
      <c r="D11" s="56">
        <v>2025</v>
      </c>
      <c r="E11" s="56" t="inlineStr">
        <is>
          <t>P1</t>
        </is>
      </c>
      <c r="F11" t="inlineStr">
        <is>
          <t>109 Patrick Mill Circle</t>
        </is>
      </c>
      <c r="G11" t="inlineStr">
        <is>
          <t>No Table</t>
        </is>
      </c>
      <c r="H11" s="62">
        <v>10</v>
      </c>
      <c r="I11">
        <v>10</v>
      </c>
      <c r="J11" s="65">
        <v>560000</v>
      </c>
      <c r="K11" s="65">
        <v>555000</v>
      </c>
      <c r="L11" s="65">
        <v>518700</v>
      </c>
      <c r="M11" s="56" t="inlineStr">
        <is>
          <t>Yes</t>
        </is>
      </c>
      <c r="N11" t="inlineStr">
        <is>
          <t>Original</t>
        </is>
      </c>
      <c r="O11" t="inlineStr">
        <is>
          <t>QUALIFY</t>
        </is>
      </c>
      <c r="S11" t="inlineStr">
        <is>
          <t>Full ledger row</t>
        </is>
      </c>
    </row>
    <row r="12" spans="1:19" hidden="1">
      <c r="A12" t="inlineStr">
        <is>
          <t>LOOCV0-P1-S0-NT-E011</t>
        </is>
      </c>
      <c r="B12" t="inlineStr">
        <is>
          <t>LOOCV0-P1-S0-NT</t>
        </is>
      </c>
      <c r="C12" t="inlineStr">
        <is>
          <t>LOOCV0</t>
        </is>
      </c>
      <c r="D12" s="56">
        <v>2025</v>
      </c>
      <c r="E12" s="56" t="inlineStr">
        <is>
          <t>P1</t>
        </is>
      </c>
      <c r="F12" t="inlineStr">
        <is>
          <t>109 Patrick Mill Circle</t>
        </is>
      </c>
      <c r="G12" t="inlineStr">
        <is>
          <t>No Table</t>
        </is>
      </c>
      <c r="H12" s="62">
        <v>1</v>
      </c>
      <c r="I12">
        <v>11</v>
      </c>
      <c r="J12" s="65">
        <v>565000</v>
      </c>
      <c r="K12" s="65">
        <v>550000</v>
      </c>
      <c r="L12" s="65">
        <v>518700</v>
      </c>
      <c r="M12" s="56" t="inlineStr">
        <is>
          <t>Yes</t>
        </is>
      </c>
      <c r="N12" t="inlineStr">
        <is>
          <t>Replacement</t>
        </is>
      </c>
      <c r="O12" t="inlineStr">
        <is>
          <t>QUALIFY</t>
        </is>
      </c>
      <c r="P12">
        <v>1</v>
      </c>
      <c r="S12" t="inlineStr">
        <is>
          <t>Full ledger row</t>
        </is>
      </c>
    </row>
    <row r="13" spans="1:19" hidden="1">
      <c r="A13" t="inlineStr">
        <is>
          <t>LOOCV0-P1-S0-NT-E012</t>
        </is>
      </c>
      <c r="B13" t="inlineStr">
        <is>
          <t>LOOCV0-P1-S0-NT</t>
        </is>
      </c>
      <c r="C13" t="inlineStr">
        <is>
          <t>LOOCV0</t>
        </is>
      </c>
      <c r="D13" s="56">
        <v>2025</v>
      </c>
      <c r="E13" s="56" t="inlineStr">
        <is>
          <t>P1</t>
        </is>
      </c>
      <c r="F13" t="inlineStr">
        <is>
          <t>109 Patrick Mill Circle</t>
        </is>
      </c>
      <c r="G13" t="inlineStr">
        <is>
          <t>No Table</t>
        </is>
      </c>
      <c r="H13" s="62">
        <v>7</v>
      </c>
      <c r="I13">
        <v>12</v>
      </c>
      <c r="J13" s="65">
        <v>560000</v>
      </c>
      <c r="K13" s="65">
        <v>560000</v>
      </c>
      <c r="L13" s="65">
        <v>518700</v>
      </c>
      <c r="M13" s="56" t="inlineStr">
        <is>
          <t>Yes</t>
        </is>
      </c>
      <c r="N13" t="inlineStr">
        <is>
          <t>Replacement</t>
        </is>
      </c>
      <c r="O13" t="inlineStr">
        <is>
          <t>QUALIFY</t>
        </is>
      </c>
      <c r="P13">
        <v>7</v>
      </c>
      <c r="S13" t="inlineStr">
        <is>
          <t>Full ledger row</t>
        </is>
      </c>
    </row>
    <row r="14" spans="1:19" hidden="1">
      <c r="A14" t="inlineStr">
        <is>
          <t>LOOCV0-P2-S0-NT-E001</t>
        </is>
      </c>
      <c r="B14" t="inlineStr">
        <is>
          <t>LOOCV0-P2-S0-NT</t>
        </is>
      </c>
      <c r="C14" t="inlineStr">
        <is>
          <t>LOOCV0</t>
        </is>
      </c>
      <c r="D14" s="56">
        <v>2025</v>
      </c>
      <c r="E14" s="56" t="inlineStr">
        <is>
          <t>P2</t>
        </is>
      </c>
      <c r="F14" t="inlineStr">
        <is>
          <t>265 Patrick Mill Circle</t>
        </is>
      </c>
      <c r="G14" t="inlineStr">
        <is>
          <t>No Table</t>
        </is>
      </c>
      <c r="H14" s="62">
        <v>1</v>
      </c>
      <c r="I14">
        <v>1</v>
      </c>
      <c r="J14" s="65">
        <v>720000</v>
      </c>
      <c r="K14" s="65">
        <v>695000</v>
      </c>
      <c r="L14" s="65">
        <v>675000</v>
      </c>
      <c r="M14" s="56" t="inlineStr">
        <is>
          <t>Yes</t>
        </is>
      </c>
      <c r="N14" t="inlineStr">
        <is>
          <t>Original</t>
        </is>
      </c>
      <c r="O14" t="inlineStr">
        <is>
          <t>QUALIFY</t>
        </is>
      </c>
      <c r="S14" t="inlineStr">
        <is>
          <t>Full ledger row</t>
        </is>
      </c>
    </row>
    <row r="15" spans="1:19" hidden="1">
      <c r="A15" t="inlineStr">
        <is>
          <t>LOOCV0-P2-S0-NT-E002</t>
        </is>
      </c>
      <c r="B15" t="inlineStr">
        <is>
          <t>LOOCV0-P2-S0-NT</t>
        </is>
      </c>
      <c r="C15" t="inlineStr">
        <is>
          <t>LOOCV0</t>
        </is>
      </c>
      <c r="D15" s="56">
        <v>2025</v>
      </c>
      <c r="E15" s="56" t="inlineStr">
        <is>
          <t>P2</t>
        </is>
      </c>
      <c r="F15" t="inlineStr">
        <is>
          <t>265 Patrick Mill Circle</t>
        </is>
      </c>
      <c r="G15" t="inlineStr">
        <is>
          <t>No Table</t>
        </is>
      </c>
      <c r="H15" s="62">
        <v>2</v>
      </c>
      <c r="I15">
        <v>2</v>
      </c>
      <c r="J15" s="65">
        <v>745000</v>
      </c>
      <c r="K15" s="65">
        <v>705000</v>
      </c>
      <c r="L15" s="65">
        <v>675000</v>
      </c>
      <c r="M15" s="56" t="inlineStr">
        <is>
          <t>Yes</t>
        </is>
      </c>
      <c r="N15" t="inlineStr">
        <is>
          <t>Original</t>
        </is>
      </c>
      <c r="O15" t="inlineStr">
        <is>
          <t>QUALIFY</t>
        </is>
      </c>
      <c r="S15" t="inlineStr">
        <is>
          <t>Full ledger row</t>
        </is>
      </c>
    </row>
    <row r="16" spans="1:19" hidden="1">
      <c r="A16" t="inlineStr">
        <is>
          <t>LOOCV0-P2-S0-NT-E003</t>
        </is>
      </c>
      <c r="B16" t="inlineStr">
        <is>
          <t>LOOCV0-P2-S0-NT</t>
        </is>
      </c>
      <c r="C16" t="inlineStr">
        <is>
          <t>LOOCV0</t>
        </is>
      </c>
      <c r="D16" s="56">
        <v>2025</v>
      </c>
      <c r="E16" s="56" t="inlineStr">
        <is>
          <t>P2</t>
        </is>
      </c>
      <c r="F16" t="inlineStr">
        <is>
          <t>265 Patrick Mill Circle</t>
        </is>
      </c>
      <c r="G16" t="inlineStr">
        <is>
          <t>No Table</t>
        </is>
      </c>
      <c r="H16" s="62">
        <v>3</v>
      </c>
      <c r="I16">
        <v>3</v>
      </c>
      <c r="J16" s="65">
        <v>725000</v>
      </c>
      <c r="K16" s="65">
        <v>695000</v>
      </c>
      <c r="L16" s="65">
        <v>675000</v>
      </c>
      <c r="M16" s="56" t="inlineStr">
        <is>
          <t>Yes</t>
        </is>
      </c>
      <c r="N16" t="inlineStr">
        <is>
          <t>Original</t>
        </is>
      </c>
      <c r="O16" t="inlineStr">
        <is>
          <t>QUALIFY</t>
        </is>
      </c>
      <c r="S16" t="inlineStr">
        <is>
          <t>Full ledger row</t>
        </is>
      </c>
    </row>
    <row r="17" spans="1:19" hidden="1">
      <c r="A17" t="inlineStr">
        <is>
          <t>LOOCV0-P2-S0-NT-E004</t>
        </is>
      </c>
      <c r="B17" t="inlineStr">
        <is>
          <t>LOOCV0-P2-S0-NT</t>
        </is>
      </c>
      <c r="C17" t="inlineStr">
        <is>
          <t>LOOCV0</t>
        </is>
      </c>
      <c r="D17" s="56">
        <v>2025</v>
      </c>
      <c r="E17" s="56" t="inlineStr">
        <is>
          <t>P2</t>
        </is>
      </c>
      <c r="F17" t="inlineStr">
        <is>
          <t>265 Patrick Mill Circle</t>
        </is>
      </c>
      <c r="G17" t="inlineStr">
        <is>
          <t>No Table</t>
        </is>
      </c>
      <c r="H17" s="62">
        <v>4</v>
      </c>
      <c r="I17">
        <v>4</v>
      </c>
      <c r="J17" s="65">
        <v>710000</v>
      </c>
      <c r="K17" s="65">
        <v>695000</v>
      </c>
      <c r="L17" s="65">
        <v>675000</v>
      </c>
      <c r="M17" s="56" t="inlineStr">
        <is>
          <t>Yes</t>
        </is>
      </c>
      <c r="N17" t="inlineStr">
        <is>
          <t>Original</t>
        </is>
      </c>
      <c r="O17" t="inlineStr">
        <is>
          <t>QUALIFY</t>
        </is>
      </c>
      <c r="S17" t="inlineStr">
        <is>
          <t>Full ledger row</t>
        </is>
      </c>
    </row>
    <row r="18" spans="1:19" hidden="1">
      <c r="A18" t="inlineStr">
        <is>
          <t>LOOCV0-P2-S0-NT-E005</t>
        </is>
      </c>
      <c r="B18" t="inlineStr">
        <is>
          <t>LOOCV0-P2-S0-NT</t>
        </is>
      </c>
      <c r="C18" t="inlineStr">
        <is>
          <t>LOOCV0</t>
        </is>
      </c>
      <c r="D18" s="56">
        <v>2025</v>
      </c>
      <c r="E18" s="56" t="inlineStr">
        <is>
          <t>P2</t>
        </is>
      </c>
      <c r="F18" t="inlineStr">
        <is>
          <t>265 Patrick Mill Circle</t>
        </is>
      </c>
      <c r="G18" t="inlineStr">
        <is>
          <t>No Table</t>
        </is>
      </c>
      <c r="H18" s="62">
        <v>5</v>
      </c>
      <c r="I18">
        <v>5</v>
      </c>
      <c r="J18" s="65">
        <v>725000</v>
      </c>
      <c r="K18" s="65">
        <v>695000</v>
      </c>
      <c r="L18" s="65">
        <v>675000</v>
      </c>
      <c r="M18" s="56" t="inlineStr">
        <is>
          <t>Yes</t>
        </is>
      </c>
      <c r="N18" t="inlineStr">
        <is>
          <t>Original</t>
        </is>
      </c>
      <c r="O18" t="inlineStr">
        <is>
          <t>QUALIFY</t>
        </is>
      </c>
      <c r="S18" t="inlineStr">
        <is>
          <t>Full ledger row</t>
        </is>
      </c>
    </row>
    <row r="19" spans="1:19" hidden="1">
      <c r="A19" t="inlineStr">
        <is>
          <t>LOOCV0-P2-S0-NT-E006</t>
        </is>
      </c>
      <c r="B19" t="inlineStr">
        <is>
          <t>LOOCV0-P2-S0-NT</t>
        </is>
      </c>
      <c r="C19" t="inlineStr">
        <is>
          <t>LOOCV0</t>
        </is>
      </c>
      <c r="D19" s="56">
        <v>2025</v>
      </c>
      <c r="E19" s="56" t="inlineStr">
        <is>
          <t>P2</t>
        </is>
      </c>
      <c r="F19" t="inlineStr">
        <is>
          <t>265 Patrick Mill Circle</t>
        </is>
      </c>
      <c r="G19" t="inlineStr">
        <is>
          <t>No Table</t>
        </is>
      </c>
      <c r="H19" s="62">
        <v>6</v>
      </c>
      <c r="I19">
        <v>6</v>
      </c>
      <c r="J19" s="65">
        <v>715000</v>
      </c>
      <c r="K19" s="65">
        <v>695000</v>
      </c>
      <c r="L19" s="65">
        <v>675000</v>
      </c>
      <c r="M19" s="56" t="inlineStr">
        <is>
          <t>Yes</t>
        </is>
      </c>
      <c r="N19" t="inlineStr">
        <is>
          <t>Original</t>
        </is>
      </c>
      <c r="O19" t="inlineStr">
        <is>
          <t>QUALIFY</t>
        </is>
      </c>
      <c r="S19" t="inlineStr">
        <is>
          <t>Full ledger row</t>
        </is>
      </c>
    </row>
    <row r="20" spans="1:19" hidden="1">
      <c r="A20" t="inlineStr">
        <is>
          <t>LOOCV0-P2-S0-NT-E007</t>
        </is>
      </c>
      <c r="B20" t="inlineStr">
        <is>
          <t>LOOCV0-P2-S0-NT</t>
        </is>
      </c>
      <c r="C20" t="inlineStr">
        <is>
          <t>LOOCV0</t>
        </is>
      </c>
      <c r="D20" s="56">
        <v>2025</v>
      </c>
      <c r="E20" s="56" t="inlineStr">
        <is>
          <t>P2</t>
        </is>
      </c>
      <c r="F20" t="inlineStr">
        <is>
          <t>265 Patrick Mill Circle</t>
        </is>
      </c>
      <c r="G20" t="inlineStr">
        <is>
          <t>No Table</t>
        </is>
      </c>
      <c r="H20" s="62">
        <v>7</v>
      </c>
      <c r="I20">
        <v>7</v>
      </c>
      <c r="J20" s="65">
        <v>715000</v>
      </c>
      <c r="K20" s="65">
        <v>699000</v>
      </c>
      <c r="L20" s="65">
        <v>675000</v>
      </c>
      <c r="M20" s="56" t="inlineStr">
        <is>
          <t>Yes</t>
        </is>
      </c>
      <c r="N20" t="inlineStr">
        <is>
          <t>Original</t>
        </is>
      </c>
      <c r="O20" t="inlineStr">
        <is>
          <t>QUALIFY</t>
        </is>
      </c>
      <c r="S20" t="inlineStr">
        <is>
          <t>Full ledger row</t>
        </is>
      </c>
    </row>
    <row r="21" spans="1:19" hidden="1">
      <c r="A21" t="inlineStr">
        <is>
          <t>LOOCV0-P2-S0-NT-E008</t>
        </is>
      </c>
      <c r="B21" t="inlineStr">
        <is>
          <t>LOOCV0-P2-S0-NT</t>
        </is>
      </c>
      <c r="C21" t="inlineStr">
        <is>
          <t>LOOCV0</t>
        </is>
      </c>
      <c r="D21" s="56">
        <v>2025</v>
      </c>
      <c r="E21" s="56" t="inlineStr">
        <is>
          <t>P2</t>
        </is>
      </c>
      <c r="F21" t="inlineStr">
        <is>
          <t>265 Patrick Mill Circle</t>
        </is>
      </c>
      <c r="G21" t="inlineStr">
        <is>
          <t>No Table</t>
        </is>
      </c>
      <c r="H21" s="62">
        <v>8</v>
      </c>
      <c r="I21">
        <v>8</v>
      </c>
      <c r="J21" s="65">
        <v>710000</v>
      </c>
      <c r="K21" s="65">
        <v>690000</v>
      </c>
      <c r="L21" s="65">
        <v>675000</v>
      </c>
      <c r="M21" s="56" t="inlineStr">
        <is>
          <t>Yes</t>
        </is>
      </c>
      <c r="N21" t="inlineStr">
        <is>
          <t>Original</t>
        </is>
      </c>
      <c r="O21" t="inlineStr">
        <is>
          <t>QUALIFY</t>
        </is>
      </c>
      <c r="S21" t="inlineStr">
        <is>
          <t>Full ledger row</t>
        </is>
      </c>
    </row>
    <row r="22" spans="1:19" hidden="1">
      <c r="A22" t="inlineStr">
        <is>
          <t>LOOCV0-P2-S0-NT-E009</t>
        </is>
      </c>
      <c r="B22" t="inlineStr">
        <is>
          <t>LOOCV0-P2-S0-NT</t>
        </is>
      </c>
      <c r="C22" t="inlineStr">
        <is>
          <t>LOOCV0</t>
        </is>
      </c>
      <c r="D22" s="56">
        <v>2025</v>
      </c>
      <c r="E22" s="56" t="inlineStr">
        <is>
          <t>P2</t>
        </is>
      </c>
      <c r="F22" t="inlineStr">
        <is>
          <t>265 Patrick Mill Circle</t>
        </is>
      </c>
      <c r="G22" t="inlineStr">
        <is>
          <t>No Table</t>
        </is>
      </c>
      <c r="H22" s="62">
        <v>9</v>
      </c>
      <c r="I22">
        <v>9</v>
      </c>
      <c r="J22" s="65">
        <v>735000</v>
      </c>
      <c r="K22" s="65">
        <v>695000</v>
      </c>
      <c r="L22" s="65">
        <v>675000</v>
      </c>
      <c r="M22" s="56" t="inlineStr">
        <is>
          <t>Yes</t>
        </is>
      </c>
      <c r="N22" t="inlineStr">
        <is>
          <t>Original</t>
        </is>
      </c>
      <c r="O22" t="inlineStr">
        <is>
          <t>QUALIFY</t>
        </is>
      </c>
      <c r="S22" t="inlineStr">
        <is>
          <t>Full ledger row</t>
        </is>
      </c>
    </row>
    <row r="23" spans="1:19" hidden="1">
      <c r="A23" t="inlineStr">
        <is>
          <t>LOOCV0-P2-S0-NT-E010</t>
        </is>
      </c>
      <c r="B23" t="inlineStr">
        <is>
          <t>LOOCV0-P2-S0-NT</t>
        </is>
      </c>
      <c r="C23" t="inlineStr">
        <is>
          <t>LOOCV0</t>
        </is>
      </c>
      <c r="D23" s="56">
        <v>2025</v>
      </c>
      <c r="E23" s="56" t="inlineStr">
        <is>
          <t>P2</t>
        </is>
      </c>
      <c r="F23" t="inlineStr">
        <is>
          <t>265 Patrick Mill Circle</t>
        </is>
      </c>
      <c r="G23" t="inlineStr">
        <is>
          <t>No Table</t>
        </is>
      </c>
      <c r="H23" s="62">
        <v>10</v>
      </c>
      <c r="I23">
        <v>10</v>
      </c>
      <c r="J23" s="65">
        <v>725000</v>
      </c>
      <c r="K23" s="65">
        <v>700000</v>
      </c>
      <c r="L23" s="65">
        <v>675000</v>
      </c>
      <c r="M23" s="56" t="inlineStr">
        <is>
          <t>Yes</t>
        </is>
      </c>
      <c r="N23" t="inlineStr">
        <is>
          <t>Original</t>
        </is>
      </c>
      <c r="O23" t="inlineStr">
        <is>
          <t>QUALIFY</t>
        </is>
      </c>
      <c r="S23" t="inlineStr">
        <is>
          <t>Full ledger row</t>
        </is>
      </c>
    </row>
    <row r="24" spans="1:19" hidden="1">
      <c r="A24" t="inlineStr">
        <is>
          <t>LOOCV0-P3-S0-NT-E001</t>
        </is>
      </c>
      <c r="B24" t="inlineStr">
        <is>
          <t>LOOCV0-P3-S0-NT</t>
        </is>
      </c>
      <c r="C24" t="inlineStr">
        <is>
          <t>LOOCV0</t>
        </is>
      </c>
      <c r="D24" s="56">
        <v>2025</v>
      </c>
      <c r="E24" s="56" t="inlineStr">
        <is>
          <t>P3</t>
        </is>
      </c>
      <c r="F24" t="inlineStr">
        <is>
          <t>149 Seaside Circle</t>
        </is>
      </c>
      <c r="G24" t="inlineStr">
        <is>
          <t>No Table</t>
        </is>
      </c>
      <c r="H24" s="62">
        <v>1</v>
      </c>
      <c r="I24">
        <v>1</v>
      </c>
      <c r="J24" s="65">
        <v>645000</v>
      </c>
      <c r="K24" s="65">
        <v>660000</v>
      </c>
      <c r="L24" s="65">
        <v>620000</v>
      </c>
      <c r="M24" s="56" t="inlineStr">
        <is>
          <t>Yes</t>
        </is>
      </c>
      <c r="N24" t="inlineStr">
        <is>
          <t>Original</t>
        </is>
      </c>
      <c r="O24" t="inlineStr">
        <is>
          <t>QUALIFY</t>
        </is>
      </c>
      <c r="S24" t="inlineStr">
        <is>
          <t>Full ledger row</t>
        </is>
      </c>
    </row>
    <row r="25" spans="1:19" hidden="1">
      <c r="A25" t="inlineStr">
        <is>
          <t>LOOCV0-P3-S0-NT-E002</t>
        </is>
      </c>
      <c r="B25" t="inlineStr">
        <is>
          <t>LOOCV0-P3-S0-NT</t>
        </is>
      </c>
      <c r="C25" t="inlineStr">
        <is>
          <t>LOOCV0</t>
        </is>
      </c>
      <c r="D25" s="56">
        <v>2025</v>
      </c>
      <c r="E25" s="56" t="inlineStr">
        <is>
          <t>P3</t>
        </is>
      </c>
      <c r="F25" t="inlineStr">
        <is>
          <t>149 Seaside Circle</t>
        </is>
      </c>
      <c r="G25" t="inlineStr">
        <is>
          <t>No Table</t>
        </is>
      </c>
      <c r="H25" s="62">
        <v>2</v>
      </c>
      <c r="I25">
        <v>2</v>
      </c>
      <c r="J25" s="65">
        <v>630000</v>
      </c>
      <c r="K25" s="65">
        <v>650000</v>
      </c>
      <c r="L25" s="65">
        <v>620000</v>
      </c>
      <c r="M25" s="56" t="inlineStr">
        <is>
          <t>Yes</t>
        </is>
      </c>
      <c r="N25" t="inlineStr">
        <is>
          <t>Original</t>
        </is>
      </c>
      <c r="O25" t="inlineStr">
        <is>
          <t>QUALIFY</t>
        </is>
      </c>
      <c r="S25" t="inlineStr">
        <is>
          <t>Full ledger row</t>
        </is>
      </c>
    </row>
    <row r="26" spans="1:19" hidden="1">
      <c r="A26" t="inlineStr">
        <is>
          <t>LOOCV0-P3-S0-NT-E003</t>
        </is>
      </c>
      <c r="B26" t="inlineStr">
        <is>
          <t>LOOCV0-P3-S0-NT</t>
        </is>
      </c>
      <c r="C26" t="inlineStr">
        <is>
          <t>LOOCV0</t>
        </is>
      </c>
      <c r="D26" s="56">
        <v>2025</v>
      </c>
      <c r="E26" s="56" t="inlineStr">
        <is>
          <t>P3</t>
        </is>
      </c>
      <c r="F26" t="inlineStr">
        <is>
          <t>149 Seaside Circle</t>
        </is>
      </c>
      <c r="G26" t="inlineStr">
        <is>
          <t>No Table</t>
        </is>
      </c>
      <c r="H26" s="62">
        <v>3</v>
      </c>
      <c r="I26">
        <v>3</v>
      </c>
      <c r="J26" s="65">
        <v>650000</v>
      </c>
      <c r="K26" s="65">
        <v>660000</v>
      </c>
      <c r="L26" s="65">
        <v>620000</v>
      </c>
      <c r="M26" s="56" t="inlineStr">
        <is>
          <t>Yes</t>
        </is>
      </c>
      <c r="N26" t="inlineStr">
        <is>
          <t>Original</t>
        </is>
      </c>
      <c r="O26" t="inlineStr">
        <is>
          <t>QUALIFY</t>
        </is>
      </c>
      <c r="S26" t="inlineStr">
        <is>
          <t>Full ledger row</t>
        </is>
      </c>
    </row>
    <row r="27" spans="1:19" hidden="1">
      <c r="A27" t="inlineStr">
        <is>
          <t>LOOCV0-P3-S0-NT-E004</t>
        </is>
      </c>
      <c r="B27" t="inlineStr">
        <is>
          <t>LOOCV0-P3-S0-NT</t>
        </is>
      </c>
      <c r="C27" t="inlineStr">
        <is>
          <t>LOOCV0</t>
        </is>
      </c>
      <c r="D27" s="56">
        <v>2025</v>
      </c>
      <c r="E27" s="56" t="inlineStr">
        <is>
          <t>P3</t>
        </is>
      </c>
      <c r="F27" t="inlineStr">
        <is>
          <t>149 Seaside Circle</t>
        </is>
      </c>
      <c r="G27" t="inlineStr">
        <is>
          <t>No Table</t>
        </is>
      </c>
      <c r="H27" s="62">
        <v>4</v>
      </c>
      <c r="I27">
        <v>4</v>
      </c>
      <c r="J27" s="65">
        <v>635000</v>
      </c>
      <c r="K27" s="65">
        <v>660000</v>
      </c>
      <c r="L27" s="65">
        <v>620000</v>
      </c>
      <c r="M27" s="56" t="inlineStr">
        <is>
          <t>Yes</t>
        </is>
      </c>
      <c r="N27" t="inlineStr">
        <is>
          <t>Original</t>
        </is>
      </c>
      <c r="O27" t="inlineStr">
        <is>
          <t>QUALIFY</t>
        </is>
      </c>
      <c r="S27" t="inlineStr">
        <is>
          <t>Full ledger row</t>
        </is>
      </c>
    </row>
    <row r="28" spans="1:19" hidden="1">
      <c r="A28" t="inlineStr">
        <is>
          <t>LOOCV0-P3-S0-NT-E005</t>
        </is>
      </c>
      <c r="B28" t="inlineStr">
        <is>
          <t>LOOCV0-P3-S0-NT</t>
        </is>
      </c>
      <c r="C28" t="inlineStr">
        <is>
          <t>LOOCV0</t>
        </is>
      </c>
      <c r="D28" s="56">
        <v>2025</v>
      </c>
      <c r="E28" s="56" t="inlineStr">
        <is>
          <t>P3</t>
        </is>
      </c>
      <c r="F28" t="inlineStr">
        <is>
          <t>149 Seaside Circle</t>
        </is>
      </c>
      <c r="G28" t="inlineStr">
        <is>
          <t>No Table</t>
        </is>
      </c>
      <c r="H28" s="62">
        <v>5</v>
      </c>
      <c r="I28">
        <v>5</v>
      </c>
      <c r="J28" s="65">
        <v>655000</v>
      </c>
      <c r="K28" s="65">
        <v>665000</v>
      </c>
      <c r="L28" s="65">
        <v>620000</v>
      </c>
      <c r="M28" s="56" t="inlineStr">
        <is>
          <t>Yes</t>
        </is>
      </c>
      <c r="N28" t="inlineStr">
        <is>
          <t>Original</t>
        </is>
      </c>
      <c r="O28" t="inlineStr">
        <is>
          <t>QUALIFY — FLAG</t>
        </is>
      </c>
      <c r="R28" t="inlineStr">
        <is>
          <t>Minor Subject construction-year discrepancy; retained by QC.</t>
        </is>
      </c>
      <c r="S28" t="inlineStr">
        <is>
          <t>Full ledger row</t>
        </is>
      </c>
    </row>
    <row r="29" spans="1:19" hidden="1">
      <c r="A29" t="inlineStr">
        <is>
          <t>LOOCV0-P3-S0-NT-E006</t>
        </is>
      </c>
      <c r="B29" t="inlineStr">
        <is>
          <t>LOOCV0-P3-S0-NT</t>
        </is>
      </c>
      <c r="C29" t="inlineStr">
        <is>
          <t>LOOCV0</t>
        </is>
      </c>
      <c r="D29" s="56">
        <v>2025</v>
      </c>
      <c r="E29" s="56" t="inlineStr">
        <is>
          <t>P3</t>
        </is>
      </c>
      <c r="F29" t="inlineStr">
        <is>
          <t>149 Seaside Circle</t>
        </is>
      </c>
      <c r="G29" t="inlineStr">
        <is>
          <t>No Table</t>
        </is>
      </c>
      <c r="H29" s="62">
        <v>6</v>
      </c>
      <c r="I29">
        <v>6</v>
      </c>
      <c r="J29" s="65">
        <v>635000</v>
      </c>
      <c r="K29" s="65">
        <v>660000</v>
      </c>
      <c r="L29" s="65">
        <v>620000</v>
      </c>
      <c r="M29" s="56" t="inlineStr">
        <is>
          <t>Yes</t>
        </is>
      </c>
      <c r="N29" t="inlineStr">
        <is>
          <t>Original</t>
        </is>
      </c>
      <c r="O29" t="inlineStr">
        <is>
          <t>QUALIFY</t>
        </is>
      </c>
      <c r="S29" t="inlineStr">
        <is>
          <t>Full ledger row</t>
        </is>
      </c>
    </row>
    <row r="30" spans="1:19" hidden="1">
      <c r="A30" t="inlineStr">
        <is>
          <t>LOOCV0-P3-S0-NT-E007</t>
        </is>
      </c>
      <c r="B30" t="inlineStr">
        <is>
          <t>LOOCV0-P3-S0-NT</t>
        </is>
      </c>
      <c r="C30" t="inlineStr">
        <is>
          <t>LOOCV0</t>
        </is>
      </c>
      <c r="D30" s="56">
        <v>2025</v>
      </c>
      <c r="E30" s="56" t="inlineStr">
        <is>
          <t>P3</t>
        </is>
      </c>
      <c r="F30" t="inlineStr">
        <is>
          <t>149 Seaside Circle</t>
        </is>
      </c>
      <c r="G30" t="inlineStr">
        <is>
          <t>No Table</t>
        </is>
      </c>
      <c r="H30" s="62">
        <v>7</v>
      </c>
      <c r="I30">
        <v>7</v>
      </c>
      <c r="J30" s="65">
        <v>630000</v>
      </c>
      <c r="K30" s="65">
        <v>650000</v>
      </c>
      <c r="L30" s="65">
        <v>620000</v>
      </c>
      <c r="M30" s="56" t="inlineStr">
        <is>
          <t>Yes</t>
        </is>
      </c>
      <c r="N30" t="inlineStr">
        <is>
          <t>Original</t>
        </is>
      </c>
      <c r="O30" t="inlineStr">
        <is>
          <t>QUALIFY</t>
        </is>
      </c>
      <c r="S30" t="inlineStr">
        <is>
          <t>Full ledger row</t>
        </is>
      </c>
    </row>
    <row r="31" spans="1:19" hidden="1">
      <c r="A31" t="inlineStr">
        <is>
          <t>LOOCV0-P3-S0-NT-E008</t>
        </is>
      </c>
      <c r="B31" t="inlineStr">
        <is>
          <t>LOOCV0-P3-S0-NT</t>
        </is>
      </c>
      <c r="C31" t="inlineStr">
        <is>
          <t>LOOCV0</t>
        </is>
      </c>
      <c r="D31" s="56">
        <v>2025</v>
      </c>
      <c r="E31" s="56" t="inlineStr">
        <is>
          <t>P3</t>
        </is>
      </c>
      <c r="F31" t="inlineStr">
        <is>
          <t>149 Seaside Circle</t>
        </is>
      </c>
      <c r="G31" t="inlineStr">
        <is>
          <t>No Table</t>
        </is>
      </c>
      <c r="H31" s="62">
        <v>8</v>
      </c>
      <c r="I31">
        <v>8</v>
      </c>
      <c r="J31" s="65">
        <v>635000</v>
      </c>
      <c r="K31" s="65">
        <v>665000</v>
      </c>
      <c r="L31" s="65">
        <v>620000</v>
      </c>
      <c r="M31" s="56" t="inlineStr">
        <is>
          <t>Yes</t>
        </is>
      </c>
      <c r="N31" t="inlineStr">
        <is>
          <t>Original</t>
        </is>
      </c>
      <c r="O31" t="inlineStr">
        <is>
          <t>QUALIFY</t>
        </is>
      </c>
      <c r="S31" t="inlineStr">
        <is>
          <t>Full ledger row</t>
        </is>
      </c>
    </row>
    <row r="32" spans="1:19" hidden="1">
      <c r="A32" t="inlineStr">
        <is>
          <t>LOOCV0-P3-S0-NT-E009</t>
        </is>
      </c>
      <c r="B32" t="inlineStr">
        <is>
          <t>LOOCV0-P3-S0-NT</t>
        </is>
      </c>
      <c r="C32" t="inlineStr">
        <is>
          <t>LOOCV0</t>
        </is>
      </c>
      <c r="D32" s="56">
        <v>2025</v>
      </c>
      <c r="E32" s="56" t="inlineStr">
        <is>
          <t>P3</t>
        </is>
      </c>
      <c r="F32" t="inlineStr">
        <is>
          <t>149 Seaside Circle</t>
        </is>
      </c>
      <c r="G32" t="inlineStr">
        <is>
          <t>No Table</t>
        </is>
      </c>
      <c r="H32" s="62">
        <v>9</v>
      </c>
      <c r="I32">
        <v>9</v>
      </c>
      <c r="J32" s="65">
        <v>640000</v>
      </c>
      <c r="K32" s="65">
        <v>650000</v>
      </c>
      <c r="L32" s="65">
        <v>620000</v>
      </c>
      <c r="M32" s="56" t="inlineStr">
        <is>
          <t>Yes</t>
        </is>
      </c>
      <c r="N32" t="inlineStr">
        <is>
          <t>Original</t>
        </is>
      </c>
      <c r="O32" t="inlineStr">
        <is>
          <t>QUALIFY</t>
        </is>
      </c>
      <c r="S32" t="inlineStr">
        <is>
          <t>Full ledger row</t>
        </is>
      </c>
    </row>
    <row r="33" spans="1:19" hidden="1">
      <c r="A33" t="inlineStr">
        <is>
          <t>LOOCV0-P3-S0-NT-E010</t>
        </is>
      </c>
      <c r="B33" t="inlineStr">
        <is>
          <t>LOOCV0-P3-S0-NT</t>
        </is>
      </c>
      <c r="C33" t="inlineStr">
        <is>
          <t>LOOCV0</t>
        </is>
      </c>
      <c r="D33" s="56">
        <v>2025</v>
      </c>
      <c r="E33" s="56" t="inlineStr">
        <is>
          <t>P3</t>
        </is>
      </c>
      <c r="F33" t="inlineStr">
        <is>
          <t>149 Seaside Circle</t>
        </is>
      </c>
      <c r="G33" t="inlineStr">
        <is>
          <t>No Table</t>
        </is>
      </c>
      <c r="H33" s="62">
        <v>10</v>
      </c>
      <c r="I33">
        <v>10</v>
      </c>
      <c r="J33" s="65">
        <v>635000</v>
      </c>
      <c r="K33" s="65">
        <v>662000</v>
      </c>
      <c r="L33" s="65">
        <v>620000</v>
      </c>
      <c r="M33" s="56" t="inlineStr">
        <is>
          <t>Yes</t>
        </is>
      </c>
      <c r="N33" t="inlineStr">
        <is>
          <t>Original</t>
        </is>
      </c>
      <c r="O33" t="inlineStr">
        <is>
          <t>QUALIFY</t>
        </is>
      </c>
      <c r="S33" t="inlineStr">
        <is>
          <t>Full ledger row</t>
        </is>
      </c>
    </row>
    <row r="34" spans="1:19" hidden="1">
      <c r="A34" t="inlineStr">
        <is>
          <t>LOOCV0-P4-S0-NT-E001</t>
        </is>
      </c>
      <c r="B34" t="inlineStr">
        <is>
          <t>LOOCV0-P4-S0-NT</t>
        </is>
      </c>
      <c r="C34" t="inlineStr">
        <is>
          <t>LOOCV0</t>
        </is>
      </c>
      <c r="D34" s="56">
        <v>2025</v>
      </c>
      <c r="E34" s="56" t="inlineStr">
        <is>
          <t>P4</t>
        </is>
      </c>
      <c r="F34" t="inlineStr">
        <is>
          <t>216 Crosstern Court</t>
        </is>
      </c>
      <c r="G34" t="inlineStr">
        <is>
          <t>No Table</t>
        </is>
      </c>
      <c r="H34" s="62">
        <v>1</v>
      </c>
      <c r="I34">
        <v>1</v>
      </c>
      <c r="J34" s="65">
        <v>670000</v>
      </c>
      <c r="K34" s="65">
        <v>660000</v>
      </c>
      <c r="L34" s="65">
        <v>654200</v>
      </c>
      <c r="M34" s="56" t="inlineStr">
        <is>
          <t>Yes</t>
        </is>
      </c>
      <c r="N34" t="inlineStr">
        <is>
          <t>Original</t>
        </is>
      </c>
      <c r="O34" t="inlineStr">
        <is>
          <t>QUALIFY</t>
        </is>
      </c>
      <c r="S34" t="inlineStr">
        <is>
          <t>Full ledger row</t>
        </is>
      </c>
    </row>
    <row r="35" spans="1:19" hidden="1">
      <c r="A35" t="inlineStr">
        <is>
          <t>LOOCV0-P4-S0-NT-E002</t>
        </is>
      </c>
      <c r="B35" t="inlineStr">
        <is>
          <t>LOOCV0-P4-S0-NT</t>
        </is>
      </c>
      <c r="C35" t="inlineStr">
        <is>
          <t>LOOCV0</t>
        </is>
      </c>
      <c r="D35" s="56">
        <v>2025</v>
      </c>
      <c r="E35" s="56" t="inlineStr">
        <is>
          <t>P4</t>
        </is>
      </c>
      <c r="F35" t="inlineStr">
        <is>
          <t>216 Crosstern Court</t>
        </is>
      </c>
      <c r="G35" t="inlineStr">
        <is>
          <t>No Table</t>
        </is>
      </c>
      <c r="H35" s="62">
        <v>2</v>
      </c>
      <c r="I35">
        <v>2</v>
      </c>
      <c r="J35" s="65">
        <v>675000</v>
      </c>
      <c r="K35" s="65">
        <v>665000</v>
      </c>
      <c r="L35" s="65">
        <v>654200</v>
      </c>
      <c r="M35" s="56" t="inlineStr">
        <is>
          <t>Yes</t>
        </is>
      </c>
      <c r="N35" t="inlineStr">
        <is>
          <t>Original</t>
        </is>
      </c>
      <c r="O35" t="inlineStr">
        <is>
          <t>QUALIFY</t>
        </is>
      </c>
      <c r="S35" t="inlineStr">
        <is>
          <t>Full ledger row</t>
        </is>
      </c>
    </row>
    <row r="36" spans="1:19" hidden="1">
      <c r="A36" t="inlineStr">
        <is>
          <t>LOOCV0-P4-S0-NT-E003</t>
        </is>
      </c>
      <c r="B36" t="inlineStr">
        <is>
          <t>LOOCV0-P4-S0-NT</t>
        </is>
      </c>
      <c r="C36" t="inlineStr">
        <is>
          <t>LOOCV0</t>
        </is>
      </c>
      <c r="D36" s="56">
        <v>2025</v>
      </c>
      <c r="E36" s="56" t="inlineStr">
        <is>
          <t>P4</t>
        </is>
      </c>
      <c r="F36" t="inlineStr">
        <is>
          <t>216 Crosstern Court</t>
        </is>
      </c>
      <c r="G36" t="inlineStr">
        <is>
          <t>No Table</t>
        </is>
      </c>
      <c r="H36" s="62">
        <v>3</v>
      </c>
      <c r="I36">
        <v>3</v>
      </c>
      <c r="J36" s="65">
        <v>680000</v>
      </c>
      <c r="K36" s="65">
        <v>675000</v>
      </c>
      <c r="L36" s="65">
        <v>654200</v>
      </c>
      <c r="M36" s="56" t="inlineStr">
        <is>
          <t>Yes</t>
        </is>
      </c>
      <c r="N36" t="inlineStr">
        <is>
          <t>Original</t>
        </is>
      </c>
      <c r="O36" t="inlineStr">
        <is>
          <t>QUALIFY</t>
        </is>
      </c>
      <c r="S36" t="inlineStr">
        <is>
          <t>Full ledger row</t>
        </is>
      </c>
    </row>
    <row r="37" spans="1:19" hidden="1">
      <c r="A37" t="inlineStr">
        <is>
          <t>LOOCV0-P4-S0-NT-E004</t>
        </is>
      </c>
      <c r="B37" t="inlineStr">
        <is>
          <t>LOOCV0-P4-S0-NT</t>
        </is>
      </c>
      <c r="C37" t="inlineStr">
        <is>
          <t>LOOCV0</t>
        </is>
      </c>
      <c r="D37" s="56">
        <v>2025</v>
      </c>
      <c r="E37" s="56" t="inlineStr">
        <is>
          <t>P4</t>
        </is>
      </c>
      <c r="F37" t="inlineStr">
        <is>
          <t>216 Crosstern Court</t>
        </is>
      </c>
      <c r="G37" t="inlineStr">
        <is>
          <t>No Table</t>
        </is>
      </c>
      <c r="H37" s="62">
        <v>4</v>
      </c>
      <c r="I37">
        <v>4</v>
      </c>
      <c r="J37" s="65">
        <v>685000</v>
      </c>
      <c r="K37" s="65">
        <v>680000</v>
      </c>
      <c r="L37" s="65">
        <v>654200</v>
      </c>
      <c r="M37" s="56" t="inlineStr">
        <is>
          <t>Yes</t>
        </is>
      </c>
      <c r="N37" t="inlineStr">
        <is>
          <t>Original</t>
        </is>
      </c>
      <c r="O37" t="inlineStr">
        <is>
          <t>QUALIFY</t>
        </is>
      </c>
      <c r="S37" t="inlineStr">
        <is>
          <t>Full ledger row</t>
        </is>
      </c>
    </row>
    <row r="38" spans="1:19" hidden="1">
      <c r="A38" t="inlineStr">
        <is>
          <t>LOOCV0-P4-S0-NT-E005</t>
        </is>
      </c>
      <c r="B38" t="inlineStr">
        <is>
          <t>LOOCV0-P4-S0-NT</t>
        </is>
      </c>
      <c r="C38" t="inlineStr">
        <is>
          <t>LOOCV0</t>
        </is>
      </c>
      <c r="D38" s="56">
        <v>2025</v>
      </c>
      <c r="E38" s="56" t="inlineStr">
        <is>
          <t>P4</t>
        </is>
      </c>
      <c r="F38" t="inlineStr">
        <is>
          <t>216 Crosstern Court</t>
        </is>
      </c>
      <c r="G38" t="inlineStr">
        <is>
          <t>No Table</t>
        </is>
      </c>
      <c r="H38" s="62">
        <v>5</v>
      </c>
      <c r="I38">
        <v>5</v>
      </c>
      <c r="J38" s="65">
        <v>680000</v>
      </c>
      <c r="K38" s="65">
        <v>660000</v>
      </c>
      <c r="L38" s="65">
        <v>654200</v>
      </c>
      <c r="M38" s="56" t="inlineStr">
        <is>
          <t>Yes</t>
        </is>
      </c>
      <c r="N38" t="inlineStr">
        <is>
          <t>Original</t>
        </is>
      </c>
      <c r="O38" t="inlineStr">
        <is>
          <t>QUALIFY</t>
        </is>
      </c>
      <c r="S38" t="inlineStr">
        <is>
          <t>Full ledger row</t>
        </is>
      </c>
    </row>
    <row r="39" spans="1:19" hidden="1">
      <c r="A39" t="inlineStr">
        <is>
          <t>LOOCV0-P4-S0-NT-E006</t>
        </is>
      </c>
      <c r="B39" t="inlineStr">
        <is>
          <t>LOOCV0-P4-S0-NT</t>
        </is>
      </c>
      <c r="C39" t="inlineStr">
        <is>
          <t>LOOCV0</t>
        </is>
      </c>
      <c r="D39" s="56">
        <v>2025</v>
      </c>
      <c r="E39" s="56" t="inlineStr">
        <is>
          <t>P4</t>
        </is>
      </c>
      <c r="F39" t="inlineStr">
        <is>
          <t>216 Crosstern Court</t>
        </is>
      </c>
      <c r="G39" t="inlineStr">
        <is>
          <t>No Table</t>
        </is>
      </c>
      <c r="H39" s="62">
        <v>6</v>
      </c>
      <c r="I39">
        <v>6</v>
      </c>
      <c r="J39" s="65">
        <v>660000</v>
      </c>
      <c r="K39" s="65">
        <v>665000</v>
      </c>
      <c r="L39" s="65">
        <v>654200</v>
      </c>
      <c r="M39" s="56" t="inlineStr">
        <is>
          <t>Yes</t>
        </is>
      </c>
      <c r="N39" t="inlineStr">
        <is>
          <t>Original</t>
        </is>
      </c>
      <c r="O39" t="inlineStr">
        <is>
          <t>QUALIFY</t>
        </is>
      </c>
      <c r="S39" t="inlineStr">
        <is>
          <t>Full ledger row</t>
        </is>
      </c>
    </row>
    <row r="40" spans="1:19" hidden="1">
      <c r="A40" t="inlineStr">
        <is>
          <t>LOOCV0-P4-S0-NT-E007</t>
        </is>
      </c>
      <c r="B40" t="inlineStr">
        <is>
          <t>LOOCV0-P4-S0-NT</t>
        </is>
      </c>
      <c r="C40" t="inlineStr">
        <is>
          <t>LOOCV0</t>
        </is>
      </c>
      <c r="D40" s="56">
        <v>2025</v>
      </c>
      <c r="E40" s="56" t="inlineStr">
        <is>
          <t>P4</t>
        </is>
      </c>
      <c r="F40" t="inlineStr">
        <is>
          <t>216 Crosstern Court</t>
        </is>
      </c>
      <c r="G40" t="inlineStr">
        <is>
          <t>No Table</t>
        </is>
      </c>
      <c r="H40" s="62">
        <v>7</v>
      </c>
      <c r="I40">
        <v>7</v>
      </c>
      <c r="J40" s="65">
        <v>675000</v>
      </c>
      <c r="K40" s="65">
        <v>665000</v>
      </c>
      <c r="L40" s="65">
        <v>654200</v>
      </c>
      <c r="M40" s="56" t="inlineStr">
        <is>
          <t>Yes</t>
        </is>
      </c>
      <c r="N40" t="inlineStr">
        <is>
          <t>Original</t>
        </is>
      </c>
      <c r="O40" t="inlineStr">
        <is>
          <t>QUALIFY</t>
        </is>
      </c>
      <c r="S40" t="inlineStr">
        <is>
          <t>Full ledger row</t>
        </is>
      </c>
    </row>
    <row r="41" spans="1:19" hidden="1">
      <c r="A41" t="inlineStr">
        <is>
          <t>LOOCV0-P4-S0-NT-E008</t>
        </is>
      </c>
      <c r="B41" t="inlineStr">
        <is>
          <t>LOOCV0-P4-S0-NT</t>
        </is>
      </c>
      <c r="C41" t="inlineStr">
        <is>
          <t>LOOCV0</t>
        </is>
      </c>
      <c r="D41" s="56">
        <v>2025</v>
      </c>
      <c r="E41" s="56" t="inlineStr">
        <is>
          <t>P4</t>
        </is>
      </c>
      <c r="F41" t="inlineStr">
        <is>
          <t>216 Crosstern Court</t>
        </is>
      </c>
      <c r="G41" t="inlineStr">
        <is>
          <t>No Table</t>
        </is>
      </c>
      <c r="H41" s="62">
        <v>8</v>
      </c>
      <c r="I41">
        <v>8</v>
      </c>
      <c r="J41" s="65">
        <v>680000</v>
      </c>
      <c r="K41" s="65">
        <v>670000</v>
      </c>
      <c r="L41" s="65">
        <v>654200</v>
      </c>
      <c r="M41" s="56" t="inlineStr">
        <is>
          <t>Yes</t>
        </is>
      </c>
      <c r="N41" t="inlineStr">
        <is>
          <t>Original</t>
        </is>
      </c>
      <c r="O41" t="inlineStr">
        <is>
          <t>QUALIFY</t>
        </is>
      </c>
      <c r="S41" t="inlineStr">
        <is>
          <t>Full ledger row</t>
        </is>
      </c>
    </row>
    <row r="42" spans="1:19" hidden="1">
      <c r="A42" t="inlineStr">
        <is>
          <t>LOOCV0-P4-S0-NT-E009</t>
        </is>
      </c>
      <c r="B42" t="inlineStr">
        <is>
          <t>LOOCV0-P4-S0-NT</t>
        </is>
      </c>
      <c r="C42" t="inlineStr">
        <is>
          <t>LOOCV0</t>
        </is>
      </c>
      <c r="D42" s="56">
        <v>2025</v>
      </c>
      <c r="E42" s="56" t="inlineStr">
        <is>
          <t>P4</t>
        </is>
      </c>
      <c r="F42" t="inlineStr">
        <is>
          <t>216 Crosstern Court</t>
        </is>
      </c>
      <c r="G42" t="inlineStr">
        <is>
          <t>No Table</t>
        </is>
      </c>
      <c r="H42" s="62">
        <v>9</v>
      </c>
      <c r="I42">
        <v>9</v>
      </c>
      <c r="J42" s="65">
        <v>680000</v>
      </c>
      <c r="K42" s="65">
        <v>670000</v>
      </c>
      <c r="L42" s="65">
        <v>654200</v>
      </c>
      <c r="M42" s="56" t="inlineStr">
        <is>
          <t>Yes</t>
        </is>
      </c>
      <c r="N42" t="inlineStr">
        <is>
          <t>Original</t>
        </is>
      </c>
      <c r="O42" t="inlineStr">
        <is>
          <t>QUALIFY</t>
        </is>
      </c>
      <c r="S42" t="inlineStr">
        <is>
          <t>Full ledger row</t>
        </is>
      </c>
    </row>
    <row r="43" spans="1:19" hidden="1">
      <c r="A43" t="inlineStr">
        <is>
          <t>LOOCV0-P4-S0-NT-E010</t>
        </is>
      </c>
      <c r="B43" t="inlineStr">
        <is>
          <t>LOOCV0-P4-S0-NT</t>
        </is>
      </c>
      <c r="C43" t="inlineStr">
        <is>
          <t>LOOCV0</t>
        </is>
      </c>
      <c r="D43" s="56">
        <v>2025</v>
      </c>
      <c r="E43" s="56" t="inlineStr">
        <is>
          <t>P4</t>
        </is>
      </c>
      <c r="F43" t="inlineStr">
        <is>
          <t>216 Crosstern Court</t>
        </is>
      </c>
      <c r="G43" t="inlineStr">
        <is>
          <t>No Table</t>
        </is>
      </c>
      <c r="H43" s="62">
        <v>10</v>
      </c>
      <c r="I43">
        <v>10</v>
      </c>
      <c r="J43" s="65">
        <v>675000</v>
      </c>
      <c r="K43" s="65">
        <v>680000</v>
      </c>
      <c r="L43" s="65">
        <v>654200</v>
      </c>
      <c r="M43" s="56" t="inlineStr">
        <is>
          <t>Yes</t>
        </is>
      </c>
      <c r="N43" t="inlineStr">
        <is>
          <t>Original</t>
        </is>
      </c>
      <c r="O43" t="inlineStr">
        <is>
          <t>QUALIFY</t>
        </is>
      </c>
      <c r="S43" t="inlineStr">
        <is>
          <t>Full ledger row</t>
        </is>
      </c>
    </row>
    <row r="44" spans="1:19" hidden="1">
      <c r="A44" t="inlineStr">
        <is>
          <t>LOOCV0-P5-S0-NT-E001</t>
        </is>
      </c>
      <c r="B44" t="inlineStr">
        <is>
          <t>LOOCV0-P5-S0-NT</t>
        </is>
      </c>
      <c r="C44" t="inlineStr">
        <is>
          <t>LOOCV0</t>
        </is>
      </c>
      <c r="D44" s="56">
        <v>2025</v>
      </c>
      <c r="E44" s="56" t="inlineStr">
        <is>
          <t>P5</t>
        </is>
      </c>
      <c r="F44" t="inlineStr">
        <is>
          <t>161 Crossroad Lakes Drive</t>
        </is>
      </c>
      <c r="G44" t="inlineStr">
        <is>
          <t>No Table</t>
        </is>
      </c>
      <c r="I44">
        <v>1</v>
      </c>
      <c r="L44" s="65">
        <v>910000</v>
      </c>
      <c r="M44" s="56" t="inlineStr">
        <is>
          <t>No</t>
        </is>
      </c>
      <c r="N44" t="inlineStr">
        <is>
          <t>Original</t>
        </is>
      </c>
      <c r="O44" t="inlineStr">
        <is>
          <t>EXCLUDE</t>
        </is>
      </c>
      <c r="Q44">
        <v>11</v>
      </c>
      <c r="R44" t="inlineStr">
        <is>
          <t>Historical displaced execution inferred from replacement lineage; ER-native outputs not present on authoritative official ledger.</t>
        </is>
      </c>
      <c r="S44" t="inlineStr">
        <is>
          <t>Lineage only</t>
        </is>
      </c>
    </row>
    <row r="45" spans="1:19" hidden="1">
      <c r="A45" t="inlineStr">
        <is>
          <t>LOOCV0-P5-S0-NT-E002</t>
        </is>
      </c>
      <c r="B45" t="inlineStr">
        <is>
          <t>LOOCV0-P5-S0-NT</t>
        </is>
      </c>
      <c r="C45" t="inlineStr">
        <is>
          <t>LOOCV0</t>
        </is>
      </c>
      <c r="D45" s="56">
        <v>2025</v>
      </c>
      <c r="E45" s="56" t="inlineStr">
        <is>
          <t>P5</t>
        </is>
      </c>
      <c r="F45" t="inlineStr">
        <is>
          <t>161 Crossroad Lakes Drive</t>
        </is>
      </c>
      <c r="G45" t="inlineStr">
        <is>
          <t>No Table</t>
        </is>
      </c>
      <c r="H45" s="62">
        <v>2</v>
      </c>
      <c r="I45">
        <v>2</v>
      </c>
      <c r="J45" s="65">
        <v>880000</v>
      </c>
      <c r="K45" s="65">
        <v>905000</v>
      </c>
      <c r="L45" s="65">
        <v>910000</v>
      </c>
      <c r="M45" s="56" t="inlineStr">
        <is>
          <t>Yes</t>
        </is>
      </c>
      <c r="N45" t="inlineStr">
        <is>
          <t>Original</t>
        </is>
      </c>
      <c r="O45" t="inlineStr">
        <is>
          <t>QUALIFY</t>
        </is>
      </c>
      <c r="S45" t="inlineStr">
        <is>
          <t>Full ledger row</t>
        </is>
      </c>
    </row>
    <row r="46" spans="1:19" hidden="1">
      <c r="A46" t="inlineStr">
        <is>
          <t>LOOCV0-P5-S0-NT-E003</t>
        </is>
      </c>
      <c r="B46" t="inlineStr">
        <is>
          <t>LOOCV0-P5-S0-NT</t>
        </is>
      </c>
      <c r="C46" t="inlineStr">
        <is>
          <t>LOOCV0</t>
        </is>
      </c>
      <c r="D46" s="56">
        <v>2025</v>
      </c>
      <c r="E46" s="56" t="inlineStr">
        <is>
          <t>P5</t>
        </is>
      </c>
      <c r="F46" t="inlineStr">
        <is>
          <t>161 Crossroad Lakes Drive</t>
        </is>
      </c>
      <c r="G46" t="inlineStr">
        <is>
          <t>No Table</t>
        </is>
      </c>
      <c r="I46">
        <v>3</v>
      </c>
      <c r="L46" s="65">
        <v>910000</v>
      </c>
      <c r="M46" s="56" t="inlineStr">
        <is>
          <t>No</t>
        </is>
      </c>
      <c r="N46" t="inlineStr">
        <is>
          <t>Original</t>
        </is>
      </c>
      <c r="O46" t="inlineStr">
        <is>
          <t>EXCLUDE</t>
        </is>
      </c>
      <c r="Q46">
        <v>12</v>
      </c>
      <c r="R46" t="inlineStr">
        <is>
          <t>Historical displaced execution inferred from replacement lineage; ER-native outputs not present on authoritative official ledger.</t>
        </is>
      </c>
      <c r="S46" t="inlineStr">
        <is>
          <t>Lineage only</t>
        </is>
      </c>
    </row>
    <row r="47" spans="1:19" hidden="1">
      <c r="A47" t="inlineStr">
        <is>
          <t>LOOCV0-P5-S0-NT-E004</t>
        </is>
      </c>
      <c r="B47" t="inlineStr">
        <is>
          <t>LOOCV0-P5-S0-NT</t>
        </is>
      </c>
      <c r="C47" t="inlineStr">
        <is>
          <t>LOOCV0</t>
        </is>
      </c>
      <c r="D47" s="56">
        <v>2025</v>
      </c>
      <c r="E47" s="56" t="inlineStr">
        <is>
          <t>P5</t>
        </is>
      </c>
      <c r="F47" t="inlineStr">
        <is>
          <t>161 Crossroad Lakes Drive</t>
        </is>
      </c>
      <c r="G47" t="inlineStr">
        <is>
          <t>No Table</t>
        </is>
      </c>
      <c r="H47" s="62">
        <v>4</v>
      </c>
      <c r="I47">
        <v>4</v>
      </c>
      <c r="J47" s="65">
        <v>895000</v>
      </c>
      <c r="K47" s="65">
        <v>905000</v>
      </c>
      <c r="L47" s="65">
        <v>910000</v>
      </c>
      <c r="M47" s="56" t="inlineStr">
        <is>
          <t>Yes</t>
        </is>
      </c>
      <c r="N47" t="inlineStr">
        <is>
          <t>Original</t>
        </is>
      </c>
      <c r="O47" t="inlineStr">
        <is>
          <t>QUALIFY</t>
        </is>
      </c>
      <c r="S47" t="inlineStr">
        <is>
          <t>Full ledger row</t>
        </is>
      </c>
    </row>
    <row r="48" spans="1:19" hidden="1">
      <c r="A48" t="inlineStr">
        <is>
          <t>LOOCV0-P5-S0-NT-E005</t>
        </is>
      </c>
      <c r="B48" t="inlineStr">
        <is>
          <t>LOOCV0-P5-S0-NT</t>
        </is>
      </c>
      <c r="C48" t="inlineStr">
        <is>
          <t>LOOCV0</t>
        </is>
      </c>
      <c r="D48" s="56">
        <v>2025</v>
      </c>
      <c r="E48" s="56" t="inlineStr">
        <is>
          <t>P5</t>
        </is>
      </c>
      <c r="F48" t="inlineStr">
        <is>
          <t>161 Crossroad Lakes Drive</t>
        </is>
      </c>
      <c r="G48" t="inlineStr">
        <is>
          <t>No Table</t>
        </is>
      </c>
      <c r="H48" s="62">
        <v>5</v>
      </c>
      <c r="I48">
        <v>5</v>
      </c>
      <c r="J48" s="65">
        <v>895000</v>
      </c>
      <c r="K48" s="65">
        <v>910000</v>
      </c>
      <c r="L48" s="65">
        <v>910000</v>
      </c>
      <c r="M48" s="56" t="inlineStr">
        <is>
          <t>Yes</t>
        </is>
      </c>
      <c r="N48" t="inlineStr">
        <is>
          <t>Original</t>
        </is>
      </c>
      <c r="O48" t="inlineStr">
        <is>
          <t>QUALIFY</t>
        </is>
      </c>
      <c r="S48" t="inlineStr">
        <is>
          <t>Full ledger row</t>
        </is>
      </c>
    </row>
    <row r="49" spans="1:19" hidden="1">
      <c r="A49" t="inlineStr">
        <is>
          <t>LOOCV0-P5-S0-NT-E006</t>
        </is>
      </c>
      <c r="B49" t="inlineStr">
        <is>
          <t>LOOCV0-P5-S0-NT</t>
        </is>
      </c>
      <c r="C49" t="inlineStr">
        <is>
          <t>LOOCV0</t>
        </is>
      </c>
      <c r="D49" s="56">
        <v>2025</v>
      </c>
      <c r="E49" s="56" t="inlineStr">
        <is>
          <t>P5</t>
        </is>
      </c>
      <c r="F49" t="inlineStr">
        <is>
          <t>161 Crossroad Lakes Drive</t>
        </is>
      </c>
      <c r="G49" t="inlineStr">
        <is>
          <t>No Table</t>
        </is>
      </c>
      <c r="H49" s="62">
        <v>6</v>
      </c>
      <c r="I49">
        <v>6</v>
      </c>
      <c r="J49" s="65">
        <v>900000</v>
      </c>
      <c r="K49" s="65">
        <v>910000</v>
      </c>
      <c r="L49" s="65">
        <v>910000</v>
      </c>
      <c r="M49" s="56" t="inlineStr">
        <is>
          <t>Yes</t>
        </is>
      </c>
      <c r="N49" t="inlineStr">
        <is>
          <t>Original</t>
        </is>
      </c>
      <c r="O49" t="inlineStr">
        <is>
          <t>QUALIFY</t>
        </is>
      </c>
      <c r="S49" t="inlineStr">
        <is>
          <t>Full ledger row</t>
        </is>
      </c>
    </row>
    <row r="50" spans="1:19" hidden="1">
      <c r="A50" t="inlineStr">
        <is>
          <t>LOOCV0-P5-S0-NT-E007</t>
        </is>
      </c>
      <c r="B50" t="inlineStr">
        <is>
          <t>LOOCV0-P5-S0-NT</t>
        </is>
      </c>
      <c r="C50" t="inlineStr">
        <is>
          <t>LOOCV0</t>
        </is>
      </c>
      <c r="D50" s="56">
        <v>2025</v>
      </c>
      <c r="E50" s="56" t="inlineStr">
        <is>
          <t>P5</t>
        </is>
      </c>
      <c r="F50" t="inlineStr">
        <is>
          <t>161 Crossroad Lakes Drive</t>
        </is>
      </c>
      <c r="G50" t="inlineStr">
        <is>
          <t>No Table</t>
        </is>
      </c>
      <c r="H50" s="62">
        <v>7</v>
      </c>
      <c r="I50">
        <v>7</v>
      </c>
      <c r="J50" s="65">
        <v>890000</v>
      </c>
      <c r="K50" s="65">
        <v>900000</v>
      </c>
      <c r="L50" s="65">
        <v>910000</v>
      </c>
      <c r="M50" s="56" t="inlineStr">
        <is>
          <t>Yes</t>
        </is>
      </c>
      <c r="N50" t="inlineStr">
        <is>
          <t>Original</t>
        </is>
      </c>
      <c r="O50" t="inlineStr">
        <is>
          <t>QUALIFY</t>
        </is>
      </c>
      <c r="S50" t="inlineStr">
        <is>
          <t>Full ledger row</t>
        </is>
      </c>
    </row>
    <row r="51" spans="1:19" hidden="1">
      <c r="A51" t="inlineStr">
        <is>
          <t>LOOCV0-P5-S0-NT-E008</t>
        </is>
      </c>
      <c r="B51" t="inlineStr">
        <is>
          <t>LOOCV0-P5-S0-NT</t>
        </is>
      </c>
      <c r="C51" t="inlineStr">
        <is>
          <t>LOOCV0</t>
        </is>
      </c>
      <c r="D51" s="56">
        <v>2025</v>
      </c>
      <c r="E51" s="56" t="inlineStr">
        <is>
          <t>P5</t>
        </is>
      </c>
      <c r="F51" t="inlineStr">
        <is>
          <t>161 Crossroad Lakes Drive</t>
        </is>
      </c>
      <c r="G51" t="inlineStr">
        <is>
          <t>No Table</t>
        </is>
      </c>
      <c r="H51" s="62">
        <v>8</v>
      </c>
      <c r="I51">
        <v>8</v>
      </c>
      <c r="J51" s="65">
        <v>875000</v>
      </c>
      <c r="K51" s="65">
        <v>900000</v>
      </c>
      <c r="L51" s="65">
        <v>910000</v>
      </c>
      <c r="M51" s="56" t="inlineStr">
        <is>
          <t>Yes</t>
        </is>
      </c>
      <c r="N51" t="inlineStr">
        <is>
          <t>Original</t>
        </is>
      </c>
      <c r="O51" t="inlineStr">
        <is>
          <t>QUALIFY</t>
        </is>
      </c>
      <c r="S51" t="inlineStr">
        <is>
          <t>Full ledger row</t>
        </is>
      </c>
    </row>
    <row r="52" spans="1:19" hidden="1">
      <c r="A52" t="inlineStr">
        <is>
          <t>LOOCV0-P5-S0-NT-E009</t>
        </is>
      </c>
      <c r="B52" t="inlineStr">
        <is>
          <t>LOOCV0-P5-S0-NT</t>
        </is>
      </c>
      <c r="C52" t="inlineStr">
        <is>
          <t>LOOCV0</t>
        </is>
      </c>
      <c r="D52" s="56">
        <v>2025</v>
      </c>
      <c r="E52" s="56" t="inlineStr">
        <is>
          <t>P5</t>
        </is>
      </c>
      <c r="F52" t="inlineStr">
        <is>
          <t>161 Crossroad Lakes Drive</t>
        </is>
      </c>
      <c r="G52" t="inlineStr">
        <is>
          <t>No Table</t>
        </is>
      </c>
      <c r="H52" s="62">
        <v>9</v>
      </c>
      <c r="I52">
        <v>9</v>
      </c>
      <c r="J52" s="65">
        <v>895000</v>
      </c>
      <c r="K52" s="65">
        <v>900000</v>
      </c>
      <c r="L52" s="65">
        <v>910000</v>
      </c>
      <c r="M52" s="56" t="inlineStr">
        <is>
          <t>Yes</t>
        </is>
      </c>
      <c r="N52" t="inlineStr">
        <is>
          <t>Original</t>
        </is>
      </c>
      <c r="O52" t="inlineStr">
        <is>
          <t>QUALIFY — FLAG</t>
        </is>
      </c>
      <c r="R52" t="inlineStr">
        <is>
          <t>Multiple comparable-property field discrepancies; retained by QC.</t>
        </is>
      </c>
      <c r="S52" t="inlineStr">
        <is>
          <t>Full ledger row</t>
        </is>
      </c>
    </row>
    <row r="53" spans="1:19" hidden="1">
      <c r="A53" t="inlineStr">
        <is>
          <t>LOOCV0-P5-S0-NT-E010</t>
        </is>
      </c>
      <c r="B53" t="inlineStr">
        <is>
          <t>LOOCV0-P5-S0-NT</t>
        </is>
      </c>
      <c r="C53" t="inlineStr">
        <is>
          <t>LOOCV0</t>
        </is>
      </c>
      <c r="D53" s="56">
        <v>2025</v>
      </c>
      <c r="E53" s="56" t="inlineStr">
        <is>
          <t>P5</t>
        </is>
      </c>
      <c r="F53" t="inlineStr">
        <is>
          <t>161 Crossroad Lakes Drive</t>
        </is>
      </c>
      <c r="G53" t="inlineStr">
        <is>
          <t>No Table</t>
        </is>
      </c>
      <c r="H53" s="62">
        <v>10</v>
      </c>
      <c r="I53">
        <v>10</v>
      </c>
      <c r="J53" s="65">
        <v>870000</v>
      </c>
      <c r="K53" s="65">
        <v>900000</v>
      </c>
      <c r="L53" s="65">
        <v>910000</v>
      </c>
      <c r="M53" s="56" t="inlineStr">
        <is>
          <t>Yes</t>
        </is>
      </c>
      <c r="N53" t="inlineStr">
        <is>
          <t>Original</t>
        </is>
      </c>
      <c r="O53" t="inlineStr">
        <is>
          <t>QUALIFY</t>
        </is>
      </c>
      <c r="S53" t="inlineStr">
        <is>
          <t>Full ledger row</t>
        </is>
      </c>
    </row>
    <row r="54" spans="1:19" hidden="1">
      <c r="A54" t="inlineStr">
        <is>
          <t>LOOCV0-P5-S0-NT-E011</t>
        </is>
      </c>
      <c r="B54" t="inlineStr">
        <is>
          <t>LOOCV0-P5-S0-NT</t>
        </is>
      </c>
      <c r="C54" t="inlineStr">
        <is>
          <t>LOOCV0</t>
        </is>
      </c>
      <c r="D54" s="56">
        <v>2025</v>
      </c>
      <c r="E54" s="56" t="inlineStr">
        <is>
          <t>P5</t>
        </is>
      </c>
      <c r="F54" t="inlineStr">
        <is>
          <t>161 Crossroad Lakes Drive</t>
        </is>
      </c>
      <c r="G54" t="inlineStr">
        <is>
          <t>No Table</t>
        </is>
      </c>
      <c r="H54" s="62">
        <v>1</v>
      </c>
      <c r="I54">
        <v>11</v>
      </c>
      <c r="J54" s="65">
        <v>895000</v>
      </c>
      <c r="K54" s="65">
        <v>910000</v>
      </c>
      <c r="L54" s="65">
        <v>910000</v>
      </c>
      <c r="M54" s="56" t="inlineStr">
        <is>
          <t>Yes</t>
        </is>
      </c>
      <c r="N54" t="inlineStr">
        <is>
          <t>Replacement</t>
        </is>
      </c>
      <c r="O54" t="inlineStr">
        <is>
          <t>QUALIFY</t>
        </is>
      </c>
      <c r="P54">
        <v>1</v>
      </c>
      <c r="S54" t="inlineStr">
        <is>
          <t>Full ledger row</t>
        </is>
      </c>
    </row>
    <row r="55" spans="1:19" hidden="1">
      <c r="A55" t="inlineStr">
        <is>
          <t>LOOCV0-P5-S0-NT-E012</t>
        </is>
      </c>
      <c r="B55" t="inlineStr">
        <is>
          <t>LOOCV0-P5-S0-NT</t>
        </is>
      </c>
      <c r="C55" t="inlineStr">
        <is>
          <t>LOOCV0</t>
        </is>
      </c>
      <c r="D55" s="56">
        <v>2025</v>
      </c>
      <c r="E55" s="56" t="inlineStr">
        <is>
          <t>P5</t>
        </is>
      </c>
      <c r="F55" t="inlineStr">
        <is>
          <t>161 Crossroad Lakes Drive</t>
        </is>
      </c>
      <c r="G55" t="inlineStr">
        <is>
          <t>No Table</t>
        </is>
      </c>
      <c r="H55" s="62">
        <v>3</v>
      </c>
      <c r="I55">
        <v>12</v>
      </c>
      <c r="J55" s="65">
        <v>890000</v>
      </c>
      <c r="K55" s="65">
        <v>910000</v>
      </c>
      <c r="L55" s="65">
        <v>910000</v>
      </c>
      <c r="M55" s="56" t="inlineStr">
        <is>
          <t>Yes</t>
        </is>
      </c>
      <c r="N55" t="inlineStr">
        <is>
          <t>Replacement</t>
        </is>
      </c>
      <c r="O55" t="inlineStr">
        <is>
          <t>QUALIFY</t>
        </is>
      </c>
      <c r="P55">
        <v>3</v>
      </c>
      <c r="S55" t="inlineStr">
        <is>
          <t>Full ledger row</t>
        </is>
      </c>
    </row>
    <row r="56" spans="1:19" hidden="1">
      <c r="A56" t="inlineStr">
        <is>
          <t>LOOCV0-P6-S0-NT-E001</t>
        </is>
      </c>
      <c r="B56" t="inlineStr">
        <is>
          <t>LOOCV0-P6-S0-NT</t>
        </is>
      </c>
      <c r="C56" t="inlineStr">
        <is>
          <t>LOOCV0</t>
        </is>
      </c>
      <c r="D56" s="56">
        <v>2025</v>
      </c>
      <c r="E56" s="56" t="inlineStr">
        <is>
          <t>P6</t>
        </is>
      </c>
      <c r="F56" t="inlineStr">
        <is>
          <t>144 Crosstide Circle</t>
        </is>
      </c>
      <c r="G56" t="inlineStr">
        <is>
          <t>No Table</t>
        </is>
      </c>
      <c r="H56" s="62">
        <v>1</v>
      </c>
      <c r="I56">
        <v>1</v>
      </c>
      <c r="J56" s="65">
        <v>610000</v>
      </c>
      <c r="K56" s="65">
        <v>610000</v>
      </c>
      <c r="L56" s="65">
        <v>580000</v>
      </c>
      <c r="M56" s="56" t="inlineStr">
        <is>
          <t>Yes</t>
        </is>
      </c>
      <c r="N56" t="inlineStr">
        <is>
          <t>Original</t>
        </is>
      </c>
      <c r="O56" t="inlineStr">
        <is>
          <t>QUALIFY</t>
        </is>
      </c>
      <c r="S56" t="inlineStr">
        <is>
          <t>Full ledger row</t>
        </is>
      </c>
    </row>
    <row r="57" spans="1:19" hidden="1">
      <c r="A57" t="inlineStr">
        <is>
          <t>LOOCV0-P6-S0-NT-E002</t>
        </is>
      </c>
      <c r="B57" t="inlineStr">
        <is>
          <t>LOOCV0-P6-S0-NT</t>
        </is>
      </c>
      <c r="C57" t="inlineStr">
        <is>
          <t>LOOCV0</t>
        </is>
      </c>
      <c r="D57" s="56">
        <v>2025</v>
      </c>
      <c r="E57" s="56" t="inlineStr">
        <is>
          <t>P6</t>
        </is>
      </c>
      <c r="F57" t="inlineStr">
        <is>
          <t>144 Crosstide Circle</t>
        </is>
      </c>
      <c r="G57" t="inlineStr">
        <is>
          <t>No Table</t>
        </is>
      </c>
      <c r="H57" s="62">
        <v>2</v>
      </c>
      <c r="I57">
        <v>2</v>
      </c>
      <c r="J57" s="65">
        <v>630000</v>
      </c>
      <c r="K57" s="65">
        <v>620000</v>
      </c>
      <c r="L57" s="65">
        <v>580000</v>
      </c>
      <c r="M57" s="56" t="inlineStr">
        <is>
          <t>Yes</t>
        </is>
      </c>
      <c r="N57" t="inlineStr">
        <is>
          <t>Original</t>
        </is>
      </c>
      <c r="O57" t="inlineStr">
        <is>
          <t>QUALIFY — FLAG</t>
        </is>
      </c>
      <c r="R57" t="inlineStr">
        <is>
          <t>Subject living-area discrepancy; retained by QC.</t>
        </is>
      </c>
      <c r="S57" t="inlineStr">
        <is>
          <t>Full ledger row</t>
        </is>
      </c>
    </row>
    <row r="58" spans="1:19" hidden="1">
      <c r="A58" t="inlineStr">
        <is>
          <t>LOOCV0-P6-S0-NT-E003</t>
        </is>
      </c>
      <c r="B58" t="inlineStr">
        <is>
          <t>LOOCV0-P6-S0-NT</t>
        </is>
      </c>
      <c r="C58" t="inlineStr">
        <is>
          <t>LOOCV0</t>
        </is>
      </c>
      <c r="D58" s="56">
        <v>2025</v>
      </c>
      <c r="E58" s="56" t="inlineStr">
        <is>
          <t>P6</t>
        </is>
      </c>
      <c r="F58" t="inlineStr">
        <is>
          <t>144 Crosstide Circle</t>
        </is>
      </c>
      <c r="G58" t="inlineStr">
        <is>
          <t>No Table</t>
        </is>
      </c>
      <c r="H58" s="62">
        <v>3</v>
      </c>
      <c r="I58">
        <v>3</v>
      </c>
      <c r="J58" s="65">
        <v>625000</v>
      </c>
      <c r="K58" s="65">
        <v>615000</v>
      </c>
      <c r="L58" s="65">
        <v>580000</v>
      </c>
      <c r="M58" s="56" t="inlineStr">
        <is>
          <t>Yes</t>
        </is>
      </c>
      <c r="N58" t="inlineStr">
        <is>
          <t>Original</t>
        </is>
      </c>
      <c r="O58" t="inlineStr">
        <is>
          <t>QUALIFY — FLAG</t>
        </is>
      </c>
      <c r="R58" t="inlineStr">
        <is>
          <t>Subject living-area discrepancy; retained by QC.</t>
        </is>
      </c>
      <c r="S58" t="inlineStr">
        <is>
          <t>Full ledger row</t>
        </is>
      </c>
    </row>
    <row r="59" spans="1:19" hidden="1">
      <c r="A59" t="inlineStr">
        <is>
          <t>LOOCV0-P6-S0-NT-E004</t>
        </is>
      </c>
      <c r="B59" t="inlineStr">
        <is>
          <t>LOOCV0-P6-S0-NT</t>
        </is>
      </c>
      <c r="C59" t="inlineStr">
        <is>
          <t>LOOCV0</t>
        </is>
      </c>
      <c r="D59" s="56">
        <v>2025</v>
      </c>
      <c r="E59" s="56" t="inlineStr">
        <is>
          <t>P6</t>
        </is>
      </c>
      <c r="F59" t="inlineStr">
        <is>
          <t>144 Crosstide Circle</t>
        </is>
      </c>
      <c r="G59" t="inlineStr">
        <is>
          <t>No Table</t>
        </is>
      </c>
      <c r="H59" s="62">
        <v>4</v>
      </c>
      <c r="I59">
        <v>4</v>
      </c>
      <c r="J59" s="65">
        <v>630000</v>
      </c>
      <c r="K59" s="65">
        <v>625000</v>
      </c>
      <c r="L59" s="65">
        <v>580000</v>
      </c>
      <c r="M59" s="56" t="inlineStr">
        <is>
          <t>Yes</t>
        </is>
      </c>
      <c r="N59" t="inlineStr">
        <is>
          <t>Original</t>
        </is>
      </c>
      <c r="O59" t="inlineStr">
        <is>
          <t>QUALIFY — FLAG</t>
        </is>
      </c>
      <c r="R59" t="inlineStr">
        <is>
          <t>Comparable-property field discrepancies; retained by QC.</t>
        </is>
      </c>
      <c r="S59" t="inlineStr">
        <is>
          <t>Full ledger row</t>
        </is>
      </c>
    </row>
    <row r="60" spans="1:19" hidden="1">
      <c r="A60" t="inlineStr">
        <is>
          <t>LOOCV0-P6-S0-NT-E005</t>
        </is>
      </c>
      <c r="B60" t="inlineStr">
        <is>
          <t>LOOCV0-P6-S0-NT</t>
        </is>
      </c>
      <c r="C60" t="inlineStr">
        <is>
          <t>LOOCV0</t>
        </is>
      </c>
      <c r="D60" s="56">
        <v>2025</v>
      </c>
      <c r="E60" s="56" t="inlineStr">
        <is>
          <t>P6</t>
        </is>
      </c>
      <c r="F60" t="inlineStr">
        <is>
          <t>144 Crosstide Circle</t>
        </is>
      </c>
      <c r="G60" t="inlineStr">
        <is>
          <t>No Table</t>
        </is>
      </c>
      <c r="H60" s="62">
        <v>5</v>
      </c>
      <c r="I60">
        <v>5</v>
      </c>
      <c r="J60" s="65">
        <v>625000</v>
      </c>
      <c r="K60" s="65">
        <v>615000</v>
      </c>
      <c r="L60" s="65">
        <v>580000</v>
      </c>
      <c r="M60" s="56" t="inlineStr">
        <is>
          <t>Yes</t>
        </is>
      </c>
      <c r="N60" t="inlineStr">
        <is>
          <t>Original</t>
        </is>
      </c>
      <c r="O60" t="inlineStr">
        <is>
          <t>QUALIFY</t>
        </is>
      </c>
      <c r="S60" t="inlineStr">
        <is>
          <t>Full ledger row</t>
        </is>
      </c>
    </row>
    <row r="61" spans="1:19" hidden="1">
      <c r="A61" t="inlineStr">
        <is>
          <t>LOOCV0-P6-S0-NT-E006</t>
        </is>
      </c>
      <c r="B61" t="inlineStr">
        <is>
          <t>LOOCV0-P6-S0-NT</t>
        </is>
      </c>
      <c r="C61" t="inlineStr">
        <is>
          <t>LOOCV0</t>
        </is>
      </c>
      <c r="D61" s="56">
        <v>2025</v>
      </c>
      <c r="E61" s="56" t="inlineStr">
        <is>
          <t>P6</t>
        </is>
      </c>
      <c r="F61" t="inlineStr">
        <is>
          <t>144 Crosstide Circle</t>
        </is>
      </c>
      <c r="G61" t="inlineStr">
        <is>
          <t>No Table</t>
        </is>
      </c>
      <c r="H61" s="62">
        <v>6</v>
      </c>
      <c r="I61">
        <v>6</v>
      </c>
      <c r="J61" s="65">
        <v>612000</v>
      </c>
      <c r="K61" s="65">
        <v>615000</v>
      </c>
      <c r="L61" s="65">
        <v>580000</v>
      </c>
      <c r="M61" s="56" t="inlineStr">
        <is>
          <t>Yes</t>
        </is>
      </c>
      <c r="N61" t="inlineStr">
        <is>
          <t>Original</t>
        </is>
      </c>
      <c r="O61" t="inlineStr">
        <is>
          <t>QUALIFY</t>
        </is>
      </c>
      <c r="S61" t="inlineStr">
        <is>
          <t>Full ledger row</t>
        </is>
      </c>
    </row>
    <row r="62" spans="1:19" hidden="1">
      <c r="A62" t="inlineStr">
        <is>
          <t>LOOCV0-P6-S0-NT-E007</t>
        </is>
      </c>
      <c r="B62" t="inlineStr">
        <is>
          <t>LOOCV0-P6-S0-NT</t>
        </is>
      </c>
      <c r="C62" t="inlineStr">
        <is>
          <t>LOOCV0</t>
        </is>
      </c>
      <c r="D62" s="56">
        <v>2025</v>
      </c>
      <c r="E62" s="56" t="inlineStr">
        <is>
          <t>P6</t>
        </is>
      </c>
      <c r="F62" t="inlineStr">
        <is>
          <t>144 Crosstide Circle</t>
        </is>
      </c>
      <c r="G62" t="inlineStr">
        <is>
          <t>No Table</t>
        </is>
      </c>
      <c r="H62" s="62">
        <v>7</v>
      </c>
      <c r="I62">
        <v>7</v>
      </c>
      <c r="J62" s="65">
        <v>635000</v>
      </c>
      <c r="K62" s="65">
        <v>620000</v>
      </c>
      <c r="L62" s="65">
        <v>580000</v>
      </c>
      <c r="M62" s="56" t="inlineStr">
        <is>
          <t>Yes</t>
        </is>
      </c>
      <c r="N62" t="inlineStr">
        <is>
          <t>Original</t>
        </is>
      </c>
      <c r="O62" t="inlineStr">
        <is>
          <t>QUALIFY — FLAG</t>
        </is>
      </c>
      <c r="R62" t="inlineStr">
        <is>
          <t>Comparable waterfront-status description discrepancy; retained by QC.</t>
        </is>
      </c>
      <c r="S62" t="inlineStr">
        <is>
          <t>Full ledger row</t>
        </is>
      </c>
    </row>
    <row r="63" spans="1:19" hidden="1">
      <c r="A63" t="inlineStr">
        <is>
          <t>LOOCV0-P6-S0-NT-E008</t>
        </is>
      </c>
      <c r="B63" t="inlineStr">
        <is>
          <t>LOOCV0-P6-S0-NT</t>
        </is>
      </c>
      <c r="C63" t="inlineStr">
        <is>
          <t>LOOCV0</t>
        </is>
      </c>
      <c r="D63" s="56">
        <v>2025</v>
      </c>
      <c r="E63" s="56" t="inlineStr">
        <is>
          <t>P6</t>
        </is>
      </c>
      <c r="F63" t="inlineStr">
        <is>
          <t>144 Crosstide Circle</t>
        </is>
      </c>
      <c r="G63" t="inlineStr">
        <is>
          <t>No Table</t>
        </is>
      </c>
      <c r="H63" s="62">
        <v>8</v>
      </c>
      <c r="I63">
        <v>8</v>
      </c>
      <c r="J63" s="65">
        <v>615000</v>
      </c>
      <c r="K63" s="65">
        <v>605000</v>
      </c>
      <c r="L63" s="65">
        <v>580000</v>
      </c>
      <c r="M63" s="56" t="inlineStr">
        <is>
          <t>Yes</t>
        </is>
      </c>
      <c r="N63" t="inlineStr">
        <is>
          <t>Original</t>
        </is>
      </c>
      <c r="O63" t="inlineStr">
        <is>
          <t>QUALIFY</t>
        </is>
      </c>
      <c r="S63" t="inlineStr">
        <is>
          <t>Full ledger row</t>
        </is>
      </c>
    </row>
    <row r="64" spans="1:19" hidden="1">
      <c r="A64" t="inlineStr">
        <is>
          <t>LOOCV0-P6-S0-NT-E009</t>
        </is>
      </c>
      <c r="B64" t="inlineStr">
        <is>
          <t>LOOCV0-P6-S0-NT</t>
        </is>
      </c>
      <c r="C64" t="inlineStr">
        <is>
          <t>LOOCV0</t>
        </is>
      </c>
      <c r="D64" s="56">
        <v>2025</v>
      </c>
      <c r="E64" s="56" t="inlineStr">
        <is>
          <t>P6</t>
        </is>
      </c>
      <c r="F64" t="inlineStr">
        <is>
          <t>144 Crosstide Circle</t>
        </is>
      </c>
      <c r="G64" t="inlineStr">
        <is>
          <t>No Table</t>
        </is>
      </c>
      <c r="H64" s="62">
        <v>9</v>
      </c>
      <c r="I64">
        <v>9</v>
      </c>
      <c r="J64" s="65">
        <v>625000</v>
      </c>
      <c r="K64" s="65">
        <v>615000</v>
      </c>
      <c r="L64" s="65">
        <v>580000</v>
      </c>
      <c r="M64" s="56" t="inlineStr">
        <is>
          <t>Yes</t>
        </is>
      </c>
      <c r="N64" t="inlineStr">
        <is>
          <t>Original</t>
        </is>
      </c>
      <c r="O64" t="inlineStr">
        <is>
          <t>QUALIFY</t>
        </is>
      </c>
      <c r="S64" t="inlineStr">
        <is>
          <t>Full ledger row</t>
        </is>
      </c>
    </row>
    <row r="65" spans="1:19" hidden="1">
      <c r="A65" t="inlineStr">
        <is>
          <t>LOOCV0-P6-S0-NT-E010</t>
        </is>
      </c>
      <c r="B65" t="inlineStr">
        <is>
          <t>LOOCV0-P6-S0-NT</t>
        </is>
      </c>
      <c r="C65" t="inlineStr">
        <is>
          <t>LOOCV0</t>
        </is>
      </c>
      <c r="D65" s="56">
        <v>2025</v>
      </c>
      <c r="E65" s="56" t="inlineStr">
        <is>
          <t>P6</t>
        </is>
      </c>
      <c r="F65" t="inlineStr">
        <is>
          <t>144 Crosstide Circle</t>
        </is>
      </c>
      <c r="G65" t="inlineStr">
        <is>
          <t>No Table</t>
        </is>
      </c>
      <c r="H65" s="62">
        <v>10</v>
      </c>
      <c r="I65">
        <v>10</v>
      </c>
      <c r="J65" s="65">
        <v>610000</v>
      </c>
      <c r="K65" s="65">
        <v>605000</v>
      </c>
      <c r="L65" s="65">
        <v>580000</v>
      </c>
      <c r="M65" s="56" t="inlineStr">
        <is>
          <t>Yes</t>
        </is>
      </c>
      <c r="N65" t="inlineStr">
        <is>
          <t>Original</t>
        </is>
      </c>
      <c r="O65" t="inlineStr">
        <is>
          <t>QUALIFY — FLAG</t>
        </is>
      </c>
      <c r="R65" t="inlineStr">
        <is>
          <t>Comparable-property field discrepancies; retained by QC.</t>
        </is>
      </c>
      <c r="S65" t="inlineStr">
        <is>
          <t>Full ledger row</t>
        </is>
      </c>
    </row>
    <row r="66" spans="1:19" hidden="1">
      <c r="A66" t="inlineStr">
        <is>
          <t>LOOCV0-P7-S0-NT-E001</t>
        </is>
      </c>
      <c r="B66" t="inlineStr">
        <is>
          <t>LOOCV0-P7-S0-NT</t>
        </is>
      </c>
      <c r="C66" t="inlineStr">
        <is>
          <t>LOOCV0</t>
        </is>
      </c>
      <c r="D66" s="56">
        <v>2025</v>
      </c>
      <c r="E66" s="56" t="inlineStr">
        <is>
          <t>P7</t>
        </is>
      </c>
      <c r="F66" t="inlineStr">
        <is>
          <t>145 Crossroad Lakes Drive</t>
        </is>
      </c>
      <c r="G66" t="inlineStr">
        <is>
          <t>No Table</t>
        </is>
      </c>
      <c r="H66" s="62">
        <v>1</v>
      </c>
      <c r="I66">
        <v>1</v>
      </c>
      <c r="J66" s="65">
        <v>815000</v>
      </c>
      <c r="K66" s="65">
        <v>820000</v>
      </c>
      <c r="L66" s="65">
        <v>815000</v>
      </c>
      <c r="M66" s="56" t="inlineStr">
        <is>
          <t>Yes</t>
        </is>
      </c>
      <c r="N66" t="inlineStr">
        <is>
          <t>Original</t>
        </is>
      </c>
      <c r="O66" t="inlineStr">
        <is>
          <t>QUALIFY — FLAG</t>
        </is>
      </c>
      <c r="R66" t="inlineStr">
        <is>
          <t>Comparable-property living-area discrepancies; retained by QC.</t>
        </is>
      </c>
      <c r="S66" t="inlineStr">
        <is>
          <t>Full ledger row</t>
        </is>
      </c>
    </row>
    <row r="67" spans="1:19" hidden="1">
      <c r="A67" t="inlineStr">
        <is>
          <t>LOOCV0-P7-S0-NT-E002</t>
        </is>
      </c>
      <c r="B67" t="inlineStr">
        <is>
          <t>LOOCV0-P7-S0-NT</t>
        </is>
      </c>
      <c r="C67" t="inlineStr">
        <is>
          <t>LOOCV0</t>
        </is>
      </c>
      <c r="D67" s="56">
        <v>2025</v>
      </c>
      <c r="E67" s="56" t="inlineStr">
        <is>
          <t>P7</t>
        </is>
      </c>
      <c r="F67" t="inlineStr">
        <is>
          <t>145 Crossroad Lakes Drive</t>
        </is>
      </c>
      <c r="G67" t="inlineStr">
        <is>
          <t>No Table</t>
        </is>
      </c>
      <c r="H67" s="62">
        <v>2</v>
      </c>
      <c r="I67">
        <v>2</v>
      </c>
      <c r="J67" s="65">
        <v>825000</v>
      </c>
      <c r="K67" s="65">
        <v>820000</v>
      </c>
      <c r="L67" s="65">
        <v>815000</v>
      </c>
      <c r="M67" s="56" t="inlineStr">
        <is>
          <t>Yes</t>
        </is>
      </c>
      <c r="N67" t="inlineStr">
        <is>
          <t>Original</t>
        </is>
      </c>
      <c r="O67" t="inlineStr">
        <is>
          <t>QUALIFY</t>
        </is>
      </c>
      <c r="S67" t="inlineStr">
        <is>
          <t>Full ledger row</t>
        </is>
      </c>
    </row>
    <row r="68" spans="1:19" hidden="1">
      <c r="A68" t="inlineStr">
        <is>
          <t>LOOCV0-P7-S0-NT-E003</t>
        </is>
      </c>
      <c r="B68" t="inlineStr">
        <is>
          <t>LOOCV0-P7-S0-NT</t>
        </is>
      </c>
      <c r="C68" t="inlineStr">
        <is>
          <t>LOOCV0</t>
        </is>
      </c>
      <c r="D68" s="56">
        <v>2025</v>
      </c>
      <c r="E68" s="56" t="inlineStr">
        <is>
          <t>P7</t>
        </is>
      </c>
      <c r="F68" t="inlineStr">
        <is>
          <t>145 Crossroad Lakes Drive</t>
        </is>
      </c>
      <c r="G68" t="inlineStr">
        <is>
          <t>No Table</t>
        </is>
      </c>
      <c r="H68" s="62">
        <v>3</v>
      </c>
      <c r="I68">
        <v>3</v>
      </c>
      <c r="J68" s="65">
        <v>800000</v>
      </c>
      <c r="K68" s="65">
        <v>795000</v>
      </c>
      <c r="L68" s="65">
        <v>815000</v>
      </c>
      <c r="M68" s="56" t="inlineStr">
        <is>
          <t>Yes</t>
        </is>
      </c>
      <c r="N68" t="inlineStr">
        <is>
          <t>Original</t>
        </is>
      </c>
      <c r="O68" t="inlineStr">
        <is>
          <t>QUALIFY</t>
        </is>
      </c>
      <c r="S68" t="inlineStr">
        <is>
          <t>Full ledger row</t>
        </is>
      </c>
    </row>
    <row r="69" spans="1:19" hidden="1">
      <c r="A69" t="inlineStr">
        <is>
          <t>LOOCV0-P7-S0-NT-E004</t>
        </is>
      </c>
      <c r="B69" t="inlineStr">
        <is>
          <t>LOOCV0-P7-S0-NT</t>
        </is>
      </c>
      <c r="C69" t="inlineStr">
        <is>
          <t>LOOCV0</t>
        </is>
      </c>
      <c r="D69" s="56">
        <v>2025</v>
      </c>
      <c r="E69" s="56" t="inlineStr">
        <is>
          <t>P7</t>
        </is>
      </c>
      <c r="F69" t="inlineStr">
        <is>
          <t>145 Crossroad Lakes Drive</t>
        </is>
      </c>
      <c r="G69" t="inlineStr">
        <is>
          <t>No Table</t>
        </is>
      </c>
      <c r="H69" s="62">
        <v>4</v>
      </c>
      <c r="I69">
        <v>4</v>
      </c>
      <c r="J69" s="65">
        <v>795000</v>
      </c>
      <c r="K69" s="65">
        <v>800000</v>
      </c>
      <c r="L69" s="65">
        <v>815000</v>
      </c>
      <c r="M69" s="56" t="inlineStr">
        <is>
          <t>Yes</t>
        </is>
      </c>
      <c r="N69" t="inlineStr">
        <is>
          <t>Original</t>
        </is>
      </c>
      <c r="O69" t="inlineStr">
        <is>
          <t>QUALIFY</t>
        </is>
      </c>
      <c r="S69" t="inlineStr">
        <is>
          <t>Full ledger row</t>
        </is>
      </c>
    </row>
    <row r="70" spans="1:19" hidden="1">
      <c r="A70" t="inlineStr">
        <is>
          <t>LOOCV0-P7-S0-NT-E005</t>
        </is>
      </c>
      <c r="B70" t="inlineStr">
        <is>
          <t>LOOCV0-P7-S0-NT</t>
        </is>
      </c>
      <c r="C70" t="inlineStr">
        <is>
          <t>LOOCV0</t>
        </is>
      </c>
      <c r="D70" s="56">
        <v>2025</v>
      </c>
      <c r="E70" s="56" t="inlineStr">
        <is>
          <t>P7</t>
        </is>
      </c>
      <c r="F70" t="inlineStr">
        <is>
          <t>145 Crossroad Lakes Drive</t>
        </is>
      </c>
      <c r="G70" t="inlineStr">
        <is>
          <t>No Table</t>
        </is>
      </c>
      <c r="H70" s="62">
        <v>5</v>
      </c>
      <c r="I70">
        <v>5</v>
      </c>
      <c r="J70" s="65">
        <v>815000</v>
      </c>
      <c r="K70" s="65">
        <v>810000</v>
      </c>
      <c r="L70" s="65">
        <v>815000</v>
      </c>
      <c r="M70" s="56" t="inlineStr">
        <is>
          <t>Yes</t>
        </is>
      </c>
      <c r="N70" t="inlineStr">
        <is>
          <t>Original</t>
        </is>
      </c>
      <c r="O70" t="inlineStr">
        <is>
          <t>QUALIFY</t>
        </is>
      </c>
      <c r="S70" t="inlineStr">
        <is>
          <t>Full ledger row</t>
        </is>
      </c>
    </row>
    <row r="71" spans="1:19" hidden="1">
      <c r="A71" t="inlineStr">
        <is>
          <t>LOOCV0-P7-S0-NT-E006</t>
        </is>
      </c>
      <c r="B71" t="inlineStr">
        <is>
          <t>LOOCV0-P7-S0-NT</t>
        </is>
      </c>
      <c r="C71" t="inlineStr">
        <is>
          <t>LOOCV0</t>
        </is>
      </c>
      <c r="D71" s="56">
        <v>2025</v>
      </c>
      <c r="E71" s="56" t="inlineStr">
        <is>
          <t>P7</t>
        </is>
      </c>
      <c r="F71" t="inlineStr">
        <is>
          <t>145 Crossroad Lakes Drive</t>
        </is>
      </c>
      <c r="G71" t="inlineStr">
        <is>
          <t>No Table</t>
        </is>
      </c>
      <c r="I71">
        <v>6</v>
      </c>
      <c r="L71" s="65">
        <v>815000</v>
      </c>
      <c r="M71" s="56" t="inlineStr">
        <is>
          <t>No</t>
        </is>
      </c>
      <c r="N71" t="inlineStr">
        <is>
          <t>Original</t>
        </is>
      </c>
      <c r="O71" t="inlineStr">
        <is>
          <t>EXCLUDE</t>
        </is>
      </c>
      <c r="Q71">
        <v>11</v>
      </c>
      <c r="R71" t="inlineStr">
        <is>
          <t>Historical displaced execution inferred from replacement lineage; ER-native outputs not present on authoritative official ledger.</t>
        </is>
      </c>
      <c r="S71" t="inlineStr">
        <is>
          <t>Lineage only</t>
        </is>
      </c>
    </row>
    <row r="72" spans="1:19" hidden="1">
      <c r="A72" t="inlineStr">
        <is>
          <t>LOOCV0-P7-S0-NT-E007</t>
        </is>
      </c>
      <c r="B72" t="inlineStr">
        <is>
          <t>LOOCV0-P7-S0-NT</t>
        </is>
      </c>
      <c r="C72" t="inlineStr">
        <is>
          <t>LOOCV0</t>
        </is>
      </c>
      <c r="D72" s="56">
        <v>2025</v>
      </c>
      <c r="E72" s="56" t="inlineStr">
        <is>
          <t>P7</t>
        </is>
      </c>
      <c r="F72" t="inlineStr">
        <is>
          <t>145 Crossroad Lakes Drive</t>
        </is>
      </c>
      <c r="G72" t="inlineStr">
        <is>
          <t>No Table</t>
        </is>
      </c>
      <c r="H72" s="62">
        <v>7</v>
      </c>
      <c r="I72">
        <v>7</v>
      </c>
      <c r="J72" s="65">
        <v>820000</v>
      </c>
      <c r="K72" s="65">
        <v>815000</v>
      </c>
      <c r="L72" s="65">
        <v>815000</v>
      </c>
      <c r="M72" s="56" t="inlineStr">
        <is>
          <t>Yes</t>
        </is>
      </c>
      <c r="N72" t="inlineStr">
        <is>
          <t>Original</t>
        </is>
      </c>
      <c r="O72" t="inlineStr">
        <is>
          <t>QUALIFY — FLAG</t>
        </is>
      </c>
      <c r="R72" t="inlineStr">
        <is>
          <t>Comparable-property living-area discrepancies; retained by QC.</t>
        </is>
      </c>
      <c r="S72" t="inlineStr">
        <is>
          <t>Full ledger row</t>
        </is>
      </c>
    </row>
    <row r="73" spans="1:19" hidden="1">
      <c r="A73" t="inlineStr">
        <is>
          <t>LOOCV0-P7-S0-NT-E008</t>
        </is>
      </c>
      <c r="B73" t="inlineStr">
        <is>
          <t>LOOCV0-P7-S0-NT</t>
        </is>
      </c>
      <c r="C73" t="inlineStr">
        <is>
          <t>LOOCV0</t>
        </is>
      </c>
      <c r="D73" s="56">
        <v>2025</v>
      </c>
      <c r="E73" s="56" t="inlineStr">
        <is>
          <t>P7</t>
        </is>
      </c>
      <c r="F73" t="inlineStr">
        <is>
          <t>145 Crossroad Lakes Drive</t>
        </is>
      </c>
      <c r="G73" t="inlineStr">
        <is>
          <t>No Table</t>
        </is>
      </c>
      <c r="H73" s="62">
        <v>8</v>
      </c>
      <c r="I73">
        <v>8</v>
      </c>
      <c r="J73" s="65">
        <v>810000</v>
      </c>
      <c r="K73" s="65">
        <v>815000</v>
      </c>
      <c r="L73" s="65">
        <v>815000</v>
      </c>
      <c r="M73" s="56" t="inlineStr">
        <is>
          <t>Yes</t>
        </is>
      </c>
      <c r="N73" t="inlineStr">
        <is>
          <t>Original</t>
        </is>
      </c>
      <c r="O73" t="inlineStr">
        <is>
          <t>QUALIFY — FLAG</t>
        </is>
      </c>
      <c r="R73" t="inlineStr">
        <is>
          <t>Comparable-property living-area discrepancies; retained by QC.</t>
        </is>
      </c>
      <c r="S73" t="inlineStr">
        <is>
          <t>Full ledger row</t>
        </is>
      </c>
    </row>
    <row r="74" spans="1:19" hidden="1">
      <c r="A74" t="inlineStr">
        <is>
          <t>LOOCV0-P7-S0-NT-E009</t>
        </is>
      </c>
      <c r="B74" t="inlineStr">
        <is>
          <t>LOOCV0-P7-S0-NT</t>
        </is>
      </c>
      <c r="C74" t="inlineStr">
        <is>
          <t>LOOCV0</t>
        </is>
      </c>
      <c r="D74" s="56">
        <v>2025</v>
      </c>
      <c r="E74" s="56" t="inlineStr">
        <is>
          <t>P7</t>
        </is>
      </c>
      <c r="F74" t="inlineStr">
        <is>
          <t>145 Crossroad Lakes Drive</t>
        </is>
      </c>
      <c r="G74" t="inlineStr">
        <is>
          <t>No Table</t>
        </is>
      </c>
      <c r="H74" s="62">
        <v>9</v>
      </c>
      <c r="I74">
        <v>9</v>
      </c>
      <c r="J74" s="65">
        <v>835000</v>
      </c>
      <c r="K74" s="65">
        <v>820000</v>
      </c>
      <c r="L74" s="65">
        <v>815000</v>
      </c>
      <c r="M74" s="56" t="inlineStr">
        <is>
          <t>Yes</t>
        </is>
      </c>
      <c r="N74" t="inlineStr">
        <is>
          <t>Original</t>
        </is>
      </c>
      <c r="O74" t="inlineStr">
        <is>
          <t>QUALIFY</t>
        </is>
      </c>
      <c r="S74" t="inlineStr">
        <is>
          <t>Full ledger row</t>
        </is>
      </c>
    </row>
    <row r="75" spans="1:19" hidden="1">
      <c r="A75" t="inlineStr">
        <is>
          <t>LOOCV0-P7-S0-NT-E010</t>
        </is>
      </c>
      <c r="B75" t="inlineStr">
        <is>
          <t>LOOCV0-P7-S0-NT</t>
        </is>
      </c>
      <c r="C75" t="inlineStr">
        <is>
          <t>LOOCV0</t>
        </is>
      </c>
      <c r="D75" s="56">
        <v>2025</v>
      </c>
      <c r="E75" s="56" t="inlineStr">
        <is>
          <t>P7</t>
        </is>
      </c>
      <c r="F75" t="inlineStr">
        <is>
          <t>145 Crossroad Lakes Drive</t>
        </is>
      </c>
      <c r="G75" t="inlineStr">
        <is>
          <t>No Table</t>
        </is>
      </c>
      <c r="I75">
        <v>10</v>
      </c>
      <c r="L75" s="65">
        <v>815000</v>
      </c>
      <c r="M75" s="56" t="inlineStr">
        <is>
          <t>No</t>
        </is>
      </c>
      <c r="N75" t="inlineStr">
        <is>
          <t>Original</t>
        </is>
      </c>
      <c r="O75" t="inlineStr">
        <is>
          <t>EXCLUDE</t>
        </is>
      </c>
      <c r="Q75">
        <v>12</v>
      </c>
      <c r="R75" t="inlineStr">
        <is>
          <t>Historical displaced execution inferred from replacement lineage; ER-native outputs not present on authoritative official ledger.</t>
        </is>
      </c>
      <c r="S75" t="inlineStr">
        <is>
          <t>Lineage only</t>
        </is>
      </c>
    </row>
    <row r="76" spans="1:19" hidden="1">
      <c r="A76" t="inlineStr">
        <is>
          <t>LOOCV0-P7-S0-NT-E011</t>
        </is>
      </c>
      <c r="B76" t="inlineStr">
        <is>
          <t>LOOCV0-P7-S0-NT</t>
        </is>
      </c>
      <c r="C76" t="inlineStr">
        <is>
          <t>LOOCV0</t>
        </is>
      </c>
      <c r="D76" s="56">
        <v>2025</v>
      </c>
      <c r="E76" s="56" t="inlineStr">
        <is>
          <t>P7</t>
        </is>
      </c>
      <c r="F76" t="inlineStr">
        <is>
          <t>145 Crossroad Lakes Drive</t>
        </is>
      </c>
      <c r="G76" t="inlineStr">
        <is>
          <t>No Table</t>
        </is>
      </c>
      <c r="H76" s="62">
        <v>6</v>
      </c>
      <c r="I76">
        <v>11</v>
      </c>
      <c r="J76" s="65">
        <v>810000</v>
      </c>
      <c r="K76" s="65">
        <v>805000</v>
      </c>
      <c r="L76" s="65">
        <v>815000</v>
      </c>
      <c r="M76" s="56" t="inlineStr">
        <is>
          <t>Yes</t>
        </is>
      </c>
      <c r="N76" t="inlineStr">
        <is>
          <t>Replacement</t>
        </is>
      </c>
      <c r="O76" t="inlineStr">
        <is>
          <t>QUALIFY</t>
        </is>
      </c>
      <c r="P76">
        <v>6</v>
      </c>
      <c r="S76" t="inlineStr">
        <is>
          <t>Full ledger row</t>
        </is>
      </c>
    </row>
    <row r="77" spans="1:19" hidden="1">
      <c r="A77" t="inlineStr">
        <is>
          <t>LOOCV0-P7-S0-NT-E012</t>
        </is>
      </c>
      <c r="B77" t="inlineStr">
        <is>
          <t>LOOCV0-P7-S0-NT</t>
        </is>
      </c>
      <c r="C77" t="inlineStr">
        <is>
          <t>LOOCV0</t>
        </is>
      </c>
      <c r="D77" s="56">
        <v>2025</v>
      </c>
      <c r="E77" s="56" t="inlineStr">
        <is>
          <t>P7</t>
        </is>
      </c>
      <c r="F77" t="inlineStr">
        <is>
          <t>145 Crossroad Lakes Drive</t>
        </is>
      </c>
      <c r="G77" t="inlineStr">
        <is>
          <t>No Table</t>
        </is>
      </c>
      <c r="H77" s="62">
        <v>10</v>
      </c>
      <c r="I77">
        <v>12</v>
      </c>
      <c r="J77" s="65">
        <v>800000</v>
      </c>
      <c r="K77" s="65">
        <v>810000</v>
      </c>
      <c r="L77" s="65">
        <v>815000</v>
      </c>
      <c r="M77" s="56" t="inlineStr">
        <is>
          <t>Yes</t>
        </is>
      </c>
      <c r="N77" t="inlineStr">
        <is>
          <t>Replacement</t>
        </is>
      </c>
      <c r="O77" t="inlineStr">
        <is>
          <t>QUALIFY</t>
        </is>
      </c>
      <c r="P77">
        <v>10</v>
      </c>
      <c r="S77" t="inlineStr">
        <is>
          <t>Full ledger row</t>
        </is>
      </c>
    </row>
    <row r="78" spans="1:19" hidden="1">
      <c r="A78" t="inlineStr">
        <is>
          <t>LOOCV0-P8-S0-NT-E001</t>
        </is>
      </c>
      <c r="B78" t="inlineStr">
        <is>
          <t>LOOCV0-P8-S0-NT</t>
        </is>
      </c>
      <c r="C78" t="inlineStr">
        <is>
          <t>LOOCV0</t>
        </is>
      </c>
      <c r="D78" s="56">
        <v>2025</v>
      </c>
      <c r="E78" s="56" t="inlineStr">
        <is>
          <t>P8</t>
        </is>
      </c>
      <c r="F78" t="inlineStr">
        <is>
          <t>140 Crosscove Circle</t>
        </is>
      </c>
      <c r="G78" t="inlineStr">
        <is>
          <t>No Table</t>
        </is>
      </c>
      <c r="H78" s="62">
        <v>1</v>
      </c>
      <c r="I78">
        <v>1</v>
      </c>
      <c r="J78" s="65">
        <v>875000</v>
      </c>
      <c r="K78" s="65">
        <v>860000</v>
      </c>
      <c r="L78" s="65">
        <v>845000</v>
      </c>
      <c r="M78" s="56" t="inlineStr">
        <is>
          <t>Yes</t>
        </is>
      </c>
      <c r="N78" t="inlineStr">
        <is>
          <t>Original</t>
        </is>
      </c>
      <c r="O78" t="inlineStr">
        <is>
          <t>QUALIFY</t>
        </is>
      </c>
      <c r="S78" t="inlineStr">
        <is>
          <t>Full ledger row</t>
        </is>
      </c>
    </row>
    <row r="79" spans="1:19" hidden="1">
      <c r="A79" t="inlineStr">
        <is>
          <t>LOOCV0-P8-S0-NT-E002</t>
        </is>
      </c>
      <c r="B79" t="inlineStr">
        <is>
          <t>LOOCV0-P8-S0-NT</t>
        </is>
      </c>
      <c r="C79" t="inlineStr">
        <is>
          <t>LOOCV0</t>
        </is>
      </c>
      <c r="D79" s="56">
        <v>2025</v>
      </c>
      <c r="E79" s="56" t="inlineStr">
        <is>
          <t>P8</t>
        </is>
      </c>
      <c r="F79" t="inlineStr">
        <is>
          <t>140 Crosscove Circle</t>
        </is>
      </c>
      <c r="G79" t="inlineStr">
        <is>
          <t>No Table</t>
        </is>
      </c>
      <c r="H79" s="62">
        <v>2</v>
      </c>
      <c r="I79">
        <v>2</v>
      </c>
      <c r="J79" s="65">
        <v>895000</v>
      </c>
      <c r="K79" s="65">
        <v>870000</v>
      </c>
      <c r="L79" s="65">
        <v>845000</v>
      </c>
      <c r="M79" s="56" t="inlineStr">
        <is>
          <t>Yes</t>
        </is>
      </c>
      <c r="N79" t="inlineStr">
        <is>
          <t>Original</t>
        </is>
      </c>
      <c r="O79" t="inlineStr">
        <is>
          <t>QUALIFY</t>
        </is>
      </c>
      <c r="S79" t="inlineStr">
        <is>
          <t>Full ledger row</t>
        </is>
      </c>
    </row>
    <row r="80" spans="1:19" hidden="1">
      <c r="A80" t="inlineStr">
        <is>
          <t>LOOCV0-P8-S0-NT-E003</t>
        </is>
      </c>
      <c r="B80" t="inlineStr">
        <is>
          <t>LOOCV0-P8-S0-NT</t>
        </is>
      </c>
      <c r="C80" t="inlineStr">
        <is>
          <t>LOOCV0</t>
        </is>
      </c>
      <c r="D80" s="56">
        <v>2025</v>
      </c>
      <c r="E80" s="56" t="inlineStr">
        <is>
          <t>P8</t>
        </is>
      </c>
      <c r="F80" t="inlineStr">
        <is>
          <t>140 Crosscove Circle</t>
        </is>
      </c>
      <c r="G80" t="inlineStr">
        <is>
          <t>No Table</t>
        </is>
      </c>
      <c r="H80" s="62">
        <v>3</v>
      </c>
      <c r="I80">
        <v>3</v>
      </c>
      <c r="J80" s="65">
        <v>885000</v>
      </c>
      <c r="K80" s="65">
        <v>865000</v>
      </c>
      <c r="L80" s="65">
        <v>845000</v>
      </c>
      <c r="M80" s="56" t="inlineStr">
        <is>
          <t>Yes</t>
        </is>
      </c>
      <c r="N80" t="inlineStr">
        <is>
          <t>Original</t>
        </is>
      </c>
      <c r="O80" t="inlineStr">
        <is>
          <t>QUALIFY</t>
        </is>
      </c>
      <c r="S80" t="inlineStr">
        <is>
          <t>Full ledger row</t>
        </is>
      </c>
    </row>
    <row r="81" spans="1:19" hidden="1">
      <c r="A81" t="inlineStr">
        <is>
          <t>LOOCV0-P8-S0-NT-E004</t>
        </is>
      </c>
      <c r="B81" t="inlineStr">
        <is>
          <t>LOOCV0-P8-S0-NT</t>
        </is>
      </c>
      <c r="C81" t="inlineStr">
        <is>
          <t>LOOCV0</t>
        </is>
      </c>
      <c r="D81" s="56">
        <v>2025</v>
      </c>
      <c r="E81" s="56" t="inlineStr">
        <is>
          <t>P8</t>
        </is>
      </c>
      <c r="F81" t="inlineStr">
        <is>
          <t>140 Crosscove Circle</t>
        </is>
      </c>
      <c r="G81" t="inlineStr">
        <is>
          <t>No Table</t>
        </is>
      </c>
      <c r="I81">
        <v>4</v>
      </c>
      <c r="L81" s="65">
        <v>845000</v>
      </c>
      <c r="M81" s="56" t="inlineStr">
        <is>
          <t>No</t>
        </is>
      </c>
      <c r="N81" t="inlineStr">
        <is>
          <t>Original</t>
        </is>
      </c>
      <c r="O81" t="inlineStr">
        <is>
          <t>EXCLUDE</t>
        </is>
      </c>
      <c r="Q81">
        <v>11</v>
      </c>
      <c r="R81" t="inlineStr">
        <is>
          <t>Historical displaced execution inferred from replacement lineage; ER-native outputs not present on authoritative official ledger.</t>
        </is>
      </c>
      <c r="S81" t="inlineStr">
        <is>
          <t>Lineage only</t>
        </is>
      </c>
    </row>
    <row r="82" spans="1:19" hidden="1">
      <c r="A82" t="inlineStr">
        <is>
          <t>LOOCV0-P8-S0-NT-E005</t>
        </is>
      </c>
      <c r="B82" t="inlineStr">
        <is>
          <t>LOOCV0-P8-S0-NT</t>
        </is>
      </c>
      <c r="C82" t="inlineStr">
        <is>
          <t>LOOCV0</t>
        </is>
      </c>
      <c r="D82" s="56">
        <v>2025</v>
      </c>
      <c r="E82" s="56" t="inlineStr">
        <is>
          <t>P8</t>
        </is>
      </c>
      <c r="F82" t="inlineStr">
        <is>
          <t>140 Crosscove Circle</t>
        </is>
      </c>
      <c r="G82" t="inlineStr">
        <is>
          <t>No Table</t>
        </is>
      </c>
      <c r="H82" s="62">
        <v>5</v>
      </c>
      <c r="I82">
        <v>5</v>
      </c>
      <c r="J82" s="65">
        <v>890000</v>
      </c>
      <c r="K82" s="65">
        <v>865000</v>
      </c>
      <c r="L82" s="65">
        <v>845000</v>
      </c>
      <c r="M82" s="56" t="inlineStr">
        <is>
          <t>Yes</t>
        </is>
      </c>
      <c r="N82" t="inlineStr">
        <is>
          <t>Original</t>
        </is>
      </c>
      <c r="O82" t="inlineStr">
        <is>
          <t>QUALIFY</t>
        </is>
      </c>
      <c r="S82" t="inlineStr">
        <is>
          <t>Full ledger row</t>
        </is>
      </c>
    </row>
    <row r="83" spans="1:19" hidden="1">
      <c r="A83" t="inlineStr">
        <is>
          <t>LOOCV0-P8-S0-NT-E006</t>
        </is>
      </c>
      <c r="B83" t="inlineStr">
        <is>
          <t>LOOCV0-P8-S0-NT</t>
        </is>
      </c>
      <c r="C83" t="inlineStr">
        <is>
          <t>LOOCV0</t>
        </is>
      </c>
      <c r="D83" s="56">
        <v>2025</v>
      </c>
      <c r="E83" s="56" t="inlineStr">
        <is>
          <t>P8</t>
        </is>
      </c>
      <c r="F83" t="inlineStr">
        <is>
          <t>140 Crosscove Circle</t>
        </is>
      </c>
      <c r="G83" t="inlineStr">
        <is>
          <t>No Table</t>
        </is>
      </c>
      <c r="H83" s="62">
        <v>6</v>
      </c>
      <c r="I83">
        <v>6</v>
      </c>
      <c r="J83" s="65">
        <v>885000</v>
      </c>
      <c r="K83" s="65">
        <v>865000</v>
      </c>
      <c r="L83" s="65">
        <v>845000</v>
      </c>
      <c r="M83" s="56" t="inlineStr">
        <is>
          <t>Yes</t>
        </is>
      </c>
      <c r="N83" t="inlineStr">
        <is>
          <t>Original</t>
        </is>
      </c>
      <c r="O83" t="inlineStr">
        <is>
          <t>QUALIFY</t>
        </is>
      </c>
      <c r="S83" t="inlineStr">
        <is>
          <t>Full ledger row</t>
        </is>
      </c>
    </row>
    <row r="84" spans="1:19" hidden="1">
      <c r="A84" t="inlineStr">
        <is>
          <t>LOOCV0-P8-S0-NT-E007</t>
        </is>
      </c>
      <c r="B84" t="inlineStr">
        <is>
          <t>LOOCV0-P8-S0-NT</t>
        </is>
      </c>
      <c r="C84" t="inlineStr">
        <is>
          <t>LOOCV0</t>
        </is>
      </c>
      <c r="D84" s="56">
        <v>2025</v>
      </c>
      <c r="E84" s="56" t="inlineStr">
        <is>
          <t>P8</t>
        </is>
      </c>
      <c r="F84" t="inlineStr">
        <is>
          <t>140 Crosscove Circle</t>
        </is>
      </c>
      <c r="G84" t="inlineStr">
        <is>
          <t>No Table</t>
        </is>
      </c>
      <c r="I84">
        <v>7</v>
      </c>
      <c r="L84" s="65">
        <v>845000</v>
      </c>
      <c r="M84" s="56" t="inlineStr">
        <is>
          <t>No</t>
        </is>
      </c>
      <c r="N84" t="inlineStr">
        <is>
          <t>Original</t>
        </is>
      </c>
      <c r="O84" t="inlineStr">
        <is>
          <t>EXCLUDE</t>
        </is>
      </c>
      <c r="Q84">
        <v>12</v>
      </c>
      <c r="R84" t="inlineStr">
        <is>
          <t>Historical displaced execution inferred from replacement lineage; ER-native outputs not present on authoritative official ledger.</t>
        </is>
      </c>
      <c r="S84" t="inlineStr">
        <is>
          <t>Lineage only</t>
        </is>
      </c>
    </row>
    <row r="85" spans="1:19" hidden="1">
      <c r="A85" t="inlineStr">
        <is>
          <t>LOOCV0-P8-S0-NT-E008</t>
        </is>
      </c>
      <c r="B85" t="inlineStr">
        <is>
          <t>LOOCV0-P8-S0-NT</t>
        </is>
      </c>
      <c r="C85" t="inlineStr">
        <is>
          <t>LOOCV0</t>
        </is>
      </c>
      <c r="D85" s="56">
        <v>2025</v>
      </c>
      <c r="E85" s="56" t="inlineStr">
        <is>
          <t>P8</t>
        </is>
      </c>
      <c r="F85" t="inlineStr">
        <is>
          <t>140 Crosscove Circle</t>
        </is>
      </c>
      <c r="G85" t="inlineStr">
        <is>
          <t>No Table</t>
        </is>
      </c>
      <c r="H85" s="62">
        <v>8</v>
      </c>
      <c r="I85">
        <v>8</v>
      </c>
      <c r="J85" s="65">
        <v>880000</v>
      </c>
      <c r="K85" s="65">
        <v>870000</v>
      </c>
      <c r="L85" s="65">
        <v>845000</v>
      </c>
      <c r="M85" s="56" t="inlineStr">
        <is>
          <t>Yes</t>
        </is>
      </c>
      <c r="N85" t="inlineStr">
        <is>
          <t>Original</t>
        </is>
      </c>
      <c r="O85" t="inlineStr">
        <is>
          <t>QUALIFY</t>
        </is>
      </c>
      <c r="S85" t="inlineStr">
        <is>
          <t>Full ledger row</t>
        </is>
      </c>
    </row>
    <row r="86" spans="1:19" hidden="1">
      <c r="A86" t="inlineStr">
        <is>
          <t>LOOCV0-P8-S0-NT-E009</t>
        </is>
      </c>
      <c r="B86" t="inlineStr">
        <is>
          <t>LOOCV0-P8-S0-NT</t>
        </is>
      </c>
      <c r="C86" t="inlineStr">
        <is>
          <t>LOOCV0</t>
        </is>
      </c>
      <c r="D86" s="56">
        <v>2025</v>
      </c>
      <c r="E86" s="56" t="inlineStr">
        <is>
          <t>P8</t>
        </is>
      </c>
      <c r="F86" t="inlineStr">
        <is>
          <t>140 Crosscove Circle</t>
        </is>
      </c>
      <c r="G86" t="inlineStr">
        <is>
          <t>No Table</t>
        </is>
      </c>
      <c r="H86" s="62">
        <v>9</v>
      </c>
      <c r="I86">
        <v>9</v>
      </c>
      <c r="J86" s="65">
        <v>885000</v>
      </c>
      <c r="K86" s="65">
        <v>872500</v>
      </c>
      <c r="L86" s="65">
        <v>845000</v>
      </c>
      <c r="M86" s="56" t="inlineStr">
        <is>
          <t>Yes</t>
        </is>
      </c>
      <c r="N86" t="inlineStr">
        <is>
          <t>Original</t>
        </is>
      </c>
      <c r="O86" t="inlineStr">
        <is>
          <t>QUALIFY</t>
        </is>
      </c>
      <c r="S86" t="inlineStr">
        <is>
          <t>Full ledger row</t>
        </is>
      </c>
    </row>
    <row r="87" spans="1:19" hidden="1">
      <c r="A87" t="inlineStr">
        <is>
          <t>LOOCV0-P8-S0-NT-E010</t>
        </is>
      </c>
      <c r="B87" t="inlineStr">
        <is>
          <t>LOOCV0-P8-S0-NT</t>
        </is>
      </c>
      <c r="C87" t="inlineStr">
        <is>
          <t>LOOCV0</t>
        </is>
      </c>
      <c r="D87" s="56">
        <v>2025</v>
      </c>
      <c r="E87" s="56" t="inlineStr">
        <is>
          <t>P8</t>
        </is>
      </c>
      <c r="F87" t="inlineStr">
        <is>
          <t>140 Crosscove Circle</t>
        </is>
      </c>
      <c r="G87" t="inlineStr">
        <is>
          <t>No Table</t>
        </is>
      </c>
      <c r="H87" s="62">
        <v>10</v>
      </c>
      <c r="I87">
        <v>10</v>
      </c>
      <c r="J87" s="65">
        <v>875000</v>
      </c>
      <c r="K87" s="65">
        <v>860000</v>
      </c>
      <c r="L87" s="65">
        <v>845000</v>
      </c>
      <c r="M87" s="56" t="inlineStr">
        <is>
          <t>Yes</t>
        </is>
      </c>
      <c r="N87" t="inlineStr">
        <is>
          <t>Original</t>
        </is>
      </c>
      <c r="O87" t="inlineStr">
        <is>
          <t>QUALIFY</t>
        </is>
      </c>
      <c r="S87" t="inlineStr">
        <is>
          <t>Full ledger row</t>
        </is>
      </c>
    </row>
    <row r="88" spans="1:19" hidden="1">
      <c r="A88" t="inlineStr">
        <is>
          <t>LOOCV0-P8-S0-NT-E011</t>
        </is>
      </c>
      <c r="B88" t="inlineStr">
        <is>
          <t>LOOCV0-P8-S0-NT</t>
        </is>
      </c>
      <c r="C88" t="inlineStr">
        <is>
          <t>LOOCV0</t>
        </is>
      </c>
      <c r="D88" s="56">
        <v>2025</v>
      </c>
      <c r="E88" s="56" t="inlineStr">
        <is>
          <t>P8</t>
        </is>
      </c>
      <c r="F88" t="inlineStr">
        <is>
          <t>140 Crosscove Circle</t>
        </is>
      </c>
      <c r="G88" t="inlineStr">
        <is>
          <t>No Table</t>
        </is>
      </c>
      <c r="H88" s="62">
        <v>4</v>
      </c>
      <c r="I88">
        <v>11</v>
      </c>
      <c r="J88" s="65">
        <v>885000</v>
      </c>
      <c r="K88" s="65">
        <v>865000</v>
      </c>
      <c r="L88" s="65">
        <v>845000</v>
      </c>
      <c r="M88" s="56" t="inlineStr">
        <is>
          <t>Yes</t>
        </is>
      </c>
      <c r="N88" t="inlineStr">
        <is>
          <t>Replacement</t>
        </is>
      </c>
      <c r="O88" t="inlineStr">
        <is>
          <t>QUALIFY</t>
        </is>
      </c>
      <c r="P88">
        <v>4</v>
      </c>
      <c r="S88" t="inlineStr">
        <is>
          <t>Full ledger row</t>
        </is>
      </c>
    </row>
    <row r="89" spans="1:19" hidden="1">
      <c r="A89" t="inlineStr">
        <is>
          <t>LOOCV0-P8-S0-NT-E012</t>
        </is>
      </c>
      <c r="B89" t="inlineStr">
        <is>
          <t>LOOCV0-P8-S0-NT</t>
        </is>
      </c>
      <c r="C89" t="inlineStr">
        <is>
          <t>LOOCV0</t>
        </is>
      </c>
      <c r="D89" s="56">
        <v>2025</v>
      </c>
      <c r="E89" s="56" t="inlineStr">
        <is>
          <t>P8</t>
        </is>
      </c>
      <c r="F89" t="inlineStr">
        <is>
          <t>140 Crosscove Circle</t>
        </is>
      </c>
      <c r="G89" t="inlineStr">
        <is>
          <t>No Table</t>
        </is>
      </c>
      <c r="H89" s="62">
        <v>7</v>
      </c>
      <c r="I89">
        <v>12</v>
      </c>
      <c r="J89" s="65">
        <v>855000</v>
      </c>
      <c r="K89" s="65">
        <v>860000</v>
      </c>
      <c r="L89" s="65">
        <v>845000</v>
      </c>
      <c r="M89" s="56" t="inlineStr">
        <is>
          <t>Yes</t>
        </is>
      </c>
      <c r="N89" t="inlineStr">
        <is>
          <t>Replacement</t>
        </is>
      </c>
      <c r="O89" t="inlineStr">
        <is>
          <t>QUALIFY</t>
        </is>
      </c>
      <c r="P89">
        <v>7</v>
      </c>
      <c r="S89" t="inlineStr">
        <is>
          <t>Full ledger row</t>
        </is>
      </c>
    </row>
    <row r="90" spans="1:19" hidden="1">
      <c r="A90" t="inlineStr">
        <is>
          <t>LOOCV0-P9-S0-NT-E001</t>
        </is>
      </c>
      <c r="B90" t="inlineStr">
        <is>
          <t>LOOCV0-P9-S0-NT</t>
        </is>
      </c>
      <c r="C90" t="inlineStr">
        <is>
          <t>LOOCV0</t>
        </is>
      </c>
      <c r="D90" s="56">
        <v>2025</v>
      </c>
      <c r="E90" s="56" t="inlineStr">
        <is>
          <t>P9</t>
        </is>
      </c>
      <c r="F90" t="inlineStr">
        <is>
          <t>104 Seaside Circle</t>
        </is>
      </c>
      <c r="G90" t="inlineStr">
        <is>
          <t>No Table</t>
        </is>
      </c>
      <c r="H90" s="62">
        <v>1</v>
      </c>
      <c r="I90">
        <v>1</v>
      </c>
      <c r="J90" s="65">
        <v>670000</v>
      </c>
      <c r="K90" s="65">
        <v>655000</v>
      </c>
      <c r="L90" s="65">
        <v>610000</v>
      </c>
      <c r="M90" s="56" t="inlineStr">
        <is>
          <t>Yes</t>
        </is>
      </c>
      <c r="N90" t="inlineStr">
        <is>
          <t>Original</t>
        </is>
      </c>
      <c r="O90" t="inlineStr">
        <is>
          <t>QUALIFY</t>
        </is>
      </c>
      <c r="S90" t="inlineStr">
        <is>
          <t>Full ledger row</t>
        </is>
      </c>
    </row>
    <row r="91" spans="1:19" hidden="1">
      <c r="A91" t="inlineStr">
        <is>
          <t>LOOCV0-P9-S0-NT-E002</t>
        </is>
      </c>
      <c r="B91" t="inlineStr">
        <is>
          <t>LOOCV0-P9-S0-NT</t>
        </is>
      </c>
      <c r="C91" t="inlineStr">
        <is>
          <t>LOOCV0</t>
        </is>
      </c>
      <c r="D91" s="56">
        <v>2025</v>
      </c>
      <c r="E91" s="56" t="inlineStr">
        <is>
          <t>P9</t>
        </is>
      </c>
      <c r="F91" t="inlineStr">
        <is>
          <t>104 Seaside Circle</t>
        </is>
      </c>
      <c r="G91" t="inlineStr">
        <is>
          <t>No Table</t>
        </is>
      </c>
      <c r="H91" s="62">
        <v>2</v>
      </c>
      <c r="I91">
        <v>2</v>
      </c>
      <c r="J91" s="65">
        <v>680000</v>
      </c>
      <c r="K91" s="65">
        <v>655000</v>
      </c>
      <c r="L91" s="65">
        <v>610000</v>
      </c>
      <c r="M91" s="56" t="inlineStr">
        <is>
          <t>Yes</t>
        </is>
      </c>
      <c r="N91" t="inlineStr">
        <is>
          <t>Original</t>
        </is>
      </c>
      <c r="O91" t="inlineStr">
        <is>
          <t>QUALIFY</t>
        </is>
      </c>
      <c r="S91" t="inlineStr">
        <is>
          <t>Full ledger row</t>
        </is>
      </c>
    </row>
    <row r="92" spans="1:19" hidden="1">
      <c r="A92" t="inlineStr">
        <is>
          <t>LOOCV0-P9-S0-NT-E003</t>
        </is>
      </c>
      <c r="B92" t="inlineStr">
        <is>
          <t>LOOCV0-P9-S0-NT</t>
        </is>
      </c>
      <c r="C92" t="inlineStr">
        <is>
          <t>LOOCV0</t>
        </is>
      </c>
      <c r="D92" s="56">
        <v>2025</v>
      </c>
      <c r="E92" s="56" t="inlineStr">
        <is>
          <t>P9</t>
        </is>
      </c>
      <c r="F92" t="inlineStr">
        <is>
          <t>104 Seaside Circle</t>
        </is>
      </c>
      <c r="G92" t="inlineStr">
        <is>
          <t>No Table</t>
        </is>
      </c>
      <c r="H92" s="62">
        <v>3</v>
      </c>
      <c r="I92">
        <v>3</v>
      </c>
      <c r="J92" s="65">
        <v>725000</v>
      </c>
      <c r="K92" s="65">
        <v>685000</v>
      </c>
      <c r="L92" s="65">
        <v>610000</v>
      </c>
      <c r="M92" s="56" t="inlineStr">
        <is>
          <t>Yes</t>
        </is>
      </c>
      <c r="N92" t="inlineStr">
        <is>
          <t>Original</t>
        </is>
      </c>
      <c r="O92" t="inlineStr">
        <is>
          <t>QUALIFY — FLAG</t>
        </is>
      </c>
      <c r="R92" t="inlineStr">
        <is>
          <t>Comparable waterfront-status discrepancy; retained by QC.</t>
        </is>
      </c>
      <c r="S92" t="inlineStr">
        <is>
          <t>Full ledger row</t>
        </is>
      </c>
    </row>
    <row r="93" spans="1:19" hidden="1">
      <c r="A93" t="inlineStr">
        <is>
          <t>LOOCV0-P9-S0-NT-E004</t>
        </is>
      </c>
      <c r="B93" t="inlineStr">
        <is>
          <t>LOOCV0-P9-S0-NT</t>
        </is>
      </c>
      <c r="C93" t="inlineStr">
        <is>
          <t>LOOCV0</t>
        </is>
      </c>
      <c r="D93" s="56">
        <v>2025</v>
      </c>
      <c r="E93" s="56" t="inlineStr">
        <is>
          <t>P9</t>
        </is>
      </c>
      <c r="F93" t="inlineStr">
        <is>
          <t>104 Seaside Circle</t>
        </is>
      </c>
      <c r="G93" t="inlineStr">
        <is>
          <t>No Table</t>
        </is>
      </c>
      <c r="H93" s="62">
        <v>4</v>
      </c>
      <c r="I93">
        <v>4</v>
      </c>
      <c r="J93" s="65">
        <v>655000</v>
      </c>
      <c r="K93" s="65">
        <v>660000</v>
      </c>
      <c r="L93" s="65">
        <v>610000</v>
      </c>
      <c r="M93" s="56" t="inlineStr">
        <is>
          <t>Yes</t>
        </is>
      </c>
      <c r="N93" t="inlineStr">
        <is>
          <t>Original</t>
        </is>
      </c>
      <c r="O93" t="inlineStr">
        <is>
          <t>QUALIFY — FLAG</t>
        </is>
      </c>
      <c r="R93" t="inlineStr">
        <is>
          <t>Multiple comparable living-area discrepancies; retained by QC.</t>
        </is>
      </c>
      <c r="S93" t="inlineStr">
        <is>
          <t>Full ledger row</t>
        </is>
      </c>
    </row>
    <row r="94" spans="1:19" hidden="1">
      <c r="A94" t="inlineStr">
        <is>
          <t>LOOCV0-P9-S0-NT-E005</t>
        </is>
      </c>
      <c r="B94" t="inlineStr">
        <is>
          <t>LOOCV0-P9-S0-NT</t>
        </is>
      </c>
      <c r="C94" t="inlineStr">
        <is>
          <t>LOOCV0</t>
        </is>
      </c>
      <c r="D94" s="56">
        <v>2025</v>
      </c>
      <c r="E94" s="56" t="inlineStr">
        <is>
          <t>P9</t>
        </is>
      </c>
      <c r="F94" t="inlineStr">
        <is>
          <t>104 Seaside Circle</t>
        </is>
      </c>
      <c r="G94" t="inlineStr">
        <is>
          <t>No Table</t>
        </is>
      </c>
      <c r="I94">
        <v>5</v>
      </c>
      <c r="L94" s="65">
        <v>610000</v>
      </c>
      <c r="M94" s="56" t="inlineStr">
        <is>
          <t>No</t>
        </is>
      </c>
      <c r="N94" t="inlineStr">
        <is>
          <t>Original</t>
        </is>
      </c>
      <c r="O94" t="inlineStr">
        <is>
          <t>EXCLUDE</t>
        </is>
      </c>
      <c r="Q94">
        <v>11</v>
      </c>
      <c r="R94" t="inlineStr">
        <is>
          <t>Historical displaced execution inferred from replacement lineage; ER-native outputs not present on authoritative official ledger.</t>
        </is>
      </c>
      <c r="S94" t="inlineStr">
        <is>
          <t>Lineage only</t>
        </is>
      </c>
    </row>
    <row r="95" spans="1:19" hidden="1">
      <c r="A95" t="inlineStr">
        <is>
          <t>LOOCV0-P9-S0-NT-E006</t>
        </is>
      </c>
      <c r="B95" t="inlineStr">
        <is>
          <t>LOOCV0-P9-S0-NT</t>
        </is>
      </c>
      <c r="C95" t="inlineStr">
        <is>
          <t>LOOCV0</t>
        </is>
      </c>
      <c r="D95" s="56">
        <v>2025</v>
      </c>
      <c r="E95" s="56" t="inlineStr">
        <is>
          <t>P9</t>
        </is>
      </c>
      <c r="F95" t="inlineStr">
        <is>
          <t>104 Seaside Circle</t>
        </is>
      </c>
      <c r="G95" t="inlineStr">
        <is>
          <t>No Table</t>
        </is>
      </c>
      <c r="H95" s="62">
        <v>6</v>
      </c>
      <c r="I95">
        <v>6</v>
      </c>
      <c r="J95" s="65">
        <v>670000</v>
      </c>
      <c r="K95" s="65">
        <v>660000</v>
      </c>
      <c r="L95" s="65">
        <v>610000</v>
      </c>
      <c r="M95" s="56" t="inlineStr">
        <is>
          <t>Yes</t>
        </is>
      </c>
      <c r="N95" t="inlineStr">
        <is>
          <t>Original</t>
        </is>
      </c>
      <c r="O95" t="inlineStr">
        <is>
          <t>QUALIFY</t>
        </is>
      </c>
      <c r="S95" t="inlineStr">
        <is>
          <t>Full ledger row</t>
        </is>
      </c>
    </row>
    <row r="96" spans="1:19" hidden="1">
      <c r="A96" t="inlineStr">
        <is>
          <t>LOOCV0-P9-S0-NT-E007</t>
        </is>
      </c>
      <c r="B96" t="inlineStr">
        <is>
          <t>LOOCV0-P9-S0-NT</t>
        </is>
      </c>
      <c r="C96" t="inlineStr">
        <is>
          <t>LOOCV0</t>
        </is>
      </c>
      <c r="D96" s="56">
        <v>2025</v>
      </c>
      <c r="E96" s="56" t="inlineStr">
        <is>
          <t>P9</t>
        </is>
      </c>
      <c r="F96" t="inlineStr">
        <is>
          <t>104 Seaside Circle</t>
        </is>
      </c>
      <c r="G96" t="inlineStr">
        <is>
          <t>No Table</t>
        </is>
      </c>
      <c r="H96" s="62">
        <v>7</v>
      </c>
      <c r="I96">
        <v>7</v>
      </c>
      <c r="J96" s="65">
        <v>680000</v>
      </c>
      <c r="K96" s="65">
        <v>650000</v>
      </c>
      <c r="L96" s="65">
        <v>610000</v>
      </c>
      <c r="M96" s="56" t="inlineStr">
        <is>
          <t>Yes</t>
        </is>
      </c>
      <c r="N96" t="inlineStr">
        <is>
          <t>Original</t>
        </is>
      </c>
      <c r="O96" t="inlineStr">
        <is>
          <t>QUALIFY</t>
        </is>
      </c>
      <c r="S96" t="inlineStr">
        <is>
          <t>Full ledger row</t>
        </is>
      </c>
    </row>
    <row r="97" spans="1:19" hidden="1">
      <c r="A97" t="inlineStr">
        <is>
          <t>LOOCV0-P9-S0-NT-E008</t>
        </is>
      </c>
      <c r="B97" t="inlineStr">
        <is>
          <t>LOOCV0-P9-S0-NT</t>
        </is>
      </c>
      <c r="C97" t="inlineStr">
        <is>
          <t>LOOCV0</t>
        </is>
      </c>
      <c r="D97" s="56">
        <v>2025</v>
      </c>
      <c r="E97" s="56" t="inlineStr">
        <is>
          <t>P9</t>
        </is>
      </c>
      <c r="F97" t="inlineStr">
        <is>
          <t>104 Seaside Circle</t>
        </is>
      </c>
      <c r="G97" t="inlineStr">
        <is>
          <t>No Table</t>
        </is>
      </c>
      <c r="H97" s="62">
        <v>8</v>
      </c>
      <c r="I97">
        <v>8</v>
      </c>
      <c r="J97" s="65">
        <v>710000</v>
      </c>
      <c r="K97" s="65">
        <v>655000</v>
      </c>
      <c r="L97" s="65">
        <v>610000</v>
      </c>
      <c r="M97" s="56" t="inlineStr">
        <is>
          <t>Yes</t>
        </is>
      </c>
      <c r="N97" t="inlineStr">
        <is>
          <t>Original</t>
        </is>
      </c>
      <c r="O97" t="inlineStr">
        <is>
          <t>QUALIFY — FLAG</t>
        </is>
      </c>
      <c r="R97" t="inlineStr">
        <is>
          <t>Comparable living-area discrepancies; retained by QC.</t>
        </is>
      </c>
      <c r="S97" t="inlineStr">
        <is>
          <t>Full ledger row</t>
        </is>
      </c>
    </row>
    <row r="98" spans="1:19" hidden="1">
      <c r="A98" t="inlineStr">
        <is>
          <t>LOOCV0-P9-S0-NT-E009</t>
        </is>
      </c>
      <c r="B98" t="inlineStr">
        <is>
          <t>LOOCV0-P9-S0-NT</t>
        </is>
      </c>
      <c r="C98" t="inlineStr">
        <is>
          <t>LOOCV0</t>
        </is>
      </c>
      <c r="D98" s="56">
        <v>2025</v>
      </c>
      <c r="E98" s="56" t="inlineStr">
        <is>
          <t>P9</t>
        </is>
      </c>
      <c r="F98" t="inlineStr">
        <is>
          <t>104 Seaside Circle</t>
        </is>
      </c>
      <c r="G98" t="inlineStr">
        <is>
          <t>No Table</t>
        </is>
      </c>
      <c r="H98" s="62">
        <v>9</v>
      </c>
      <c r="I98">
        <v>9</v>
      </c>
      <c r="J98" s="65">
        <v>700000</v>
      </c>
      <c r="K98" s="65">
        <v>650000</v>
      </c>
      <c r="L98" s="65">
        <v>610000</v>
      </c>
      <c r="M98" s="56" t="inlineStr">
        <is>
          <t>Yes</t>
        </is>
      </c>
      <c r="N98" t="inlineStr">
        <is>
          <t>Original</t>
        </is>
      </c>
      <c r="O98" t="inlineStr">
        <is>
          <t>QUALIFY</t>
        </is>
      </c>
      <c r="S98" t="inlineStr">
        <is>
          <t>Full ledger row</t>
        </is>
      </c>
    </row>
    <row r="99" spans="1:19" hidden="1">
      <c r="A99" t="inlineStr">
        <is>
          <t>LOOCV0-P9-S0-NT-E010</t>
        </is>
      </c>
      <c r="B99" t="inlineStr">
        <is>
          <t>LOOCV0-P9-S0-NT</t>
        </is>
      </c>
      <c r="C99" t="inlineStr">
        <is>
          <t>LOOCV0</t>
        </is>
      </c>
      <c r="D99" s="56">
        <v>2025</v>
      </c>
      <c r="E99" s="56" t="inlineStr">
        <is>
          <t>P9</t>
        </is>
      </c>
      <c r="F99" t="inlineStr">
        <is>
          <t>104 Seaside Circle</t>
        </is>
      </c>
      <c r="G99" t="inlineStr">
        <is>
          <t>No Table</t>
        </is>
      </c>
      <c r="H99" s="62">
        <v>10</v>
      </c>
      <c r="I99">
        <v>10</v>
      </c>
      <c r="J99" s="65">
        <v>680000</v>
      </c>
      <c r="K99" s="65">
        <v>655000</v>
      </c>
      <c r="L99" s="65">
        <v>610000</v>
      </c>
      <c r="M99" s="56" t="inlineStr">
        <is>
          <t>Yes</t>
        </is>
      </c>
      <c r="N99" t="inlineStr">
        <is>
          <t>Original</t>
        </is>
      </c>
      <c r="O99" t="inlineStr">
        <is>
          <t>QUALIFY</t>
        </is>
      </c>
      <c r="S99" t="inlineStr">
        <is>
          <t>Full ledger row</t>
        </is>
      </c>
    </row>
    <row r="100" spans="1:19" hidden="1">
      <c r="A100" t="inlineStr">
        <is>
          <t>LOOCV0-P9-S0-NT-E011</t>
        </is>
      </c>
      <c r="B100" t="inlineStr">
        <is>
          <t>LOOCV0-P9-S0-NT</t>
        </is>
      </c>
      <c r="C100" t="inlineStr">
        <is>
          <t>LOOCV0</t>
        </is>
      </c>
      <c r="D100" s="56">
        <v>2025</v>
      </c>
      <c r="E100" s="56" t="inlineStr">
        <is>
          <t>P9</t>
        </is>
      </c>
      <c r="F100" t="inlineStr">
        <is>
          <t>104 Seaside Circle</t>
        </is>
      </c>
      <c r="G100" t="inlineStr">
        <is>
          <t>No Table</t>
        </is>
      </c>
      <c r="H100" s="62">
        <v>5</v>
      </c>
      <c r="I100">
        <v>11</v>
      </c>
      <c r="J100" s="65">
        <v>670000</v>
      </c>
      <c r="K100" s="65">
        <v>655000</v>
      </c>
      <c r="L100" s="65">
        <v>610000</v>
      </c>
      <c r="M100" s="56" t="inlineStr">
        <is>
          <t>Yes</t>
        </is>
      </c>
      <c r="N100" t="inlineStr">
        <is>
          <t>Replacement</t>
        </is>
      </c>
      <c r="O100" t="inlineStr">
        <is>
          <t>QUALIFY</t>
        </is>
      </c>
      <c r="P100">
        <v>5</v>
      </c>
      <c r="S100" t="inlineStr">
        <is>
          <t>Full ledger row</t>
        </is>
      </c>
    </row>
    <row r="101" spans="1:19" hidden="1">
      <c r="A101" t="inlineStr">
        <is>
          <t>LOOCV0-P1-S0-T-E001</t>
        </is>
      </c>
      <c r="B101" t="inlineStr">
        <is>
          <t>LOOCV0-P1-S0-T</t>
        </is>
      </c>
      <c r="C101" t="inlineStr">
        <is>
          <t>LOOCV0</t>
        </is>
      </c>
      <c r="D101" s="56">
        <v>2025</v>
      </c>
      <c r="E101" s="56" t="inlineStr">
        <is>
          <t>P1</t>
        </is>
      </c>
      <c r="F101" t="inlineStr">
        <is>
          <t>109 Patrick Mill Circle</t>
        </is>
      </c>
      <c r="G101" t="inlineStr">
        <is>
          <t>Table</t>
        </is>
      </c>
      <c r="H101" s="62">
        <v>1</v>
      </c>
      <c r="I101">
        <v>1</v>
      </c>
      <c r="J101" s="65">
        <v>550000</v>
      </c>
      <c r="K101" s="65">
        <v>550000</v>
      </c>
      <c r="L101" s="65">
        <v>518700</v>
      </c>
      <c r="M101" s="56" t="inlineStr">
        <is>
          <t>Yes</t>
        </is>
      </c>
      <c r="N101" t="inlineStr">
        <is>
          <t>Original</t>
        </is>
      </c>
      <c r="O101" t="inlineStr">
        <is>
          <t>QUALIFY</t>
        </is>
      </c>
      <c r="R101" t="inlineStr">
        <is>
          <t>No material QC issue identified.</t>
        </is>
      </c>
      <c r="S101" t="inlineStr">
        <is>
          <t>Full ledger row</t>
        </is>
      </c>
    </row>
    <row r="102" spans="1:19" hidden="1">
      <c r="A102" t="inlineStr">
        <is>
          <t>LOOCV0-P1-S0-T-E002</t>
        </is>
      </c>
      <c r="B102" t="inlineStr">
        <is>
          <t>LOOCV0-P1-S0-T</t>
        </is>
      </c>
      <c r="C102" t="inlineStr">
        <is>
          <t>LOOCV0</t>
        </is>
      </c>
      <c r="D102" s="56">
        <v>2025</v>
      </c>
      <c r="E102" s="56" t="inlineStr">
        <is>
          <t>P1</t>
        </is>
      </c>
      <c r="F102" t="inlineStr">
        <is>
          <t>109 Patrick Mill Circle</t>
        </is>
      </c>
      <c r="G102" t="inlineStr">
        <is>
          <t>Table</t>
        </is>
      </c>
      <c r="I102">
        <v>2</v>
      </c>
      <c r="J102" s="65">
        <v>545000</v>
      </c>
      <c r="K102" s="65">
        <v>558000</v>
      </c>
      <c r="L102" s="65">
        <v>518700</v>
      </c>
      <c r="M102" s="56" t="inlineStr">
        <is>
          <t>No</t>
        </is>
      </c>
      <c r="N102" t="inlineStr">
        <is>
          <t>Original</t>
        </is>
      </c>
      <c r="O102" t="inlineStr">
        <is>
          <t>EXCLUDE</t>
        </is>
      </c>
      <c r="Q102">
        <v>11</v>
      </c>
      <c r="R102" t="inlineStr">
        <is>
          <t>Generated out of established rotational sequence; excluded solely on process-...</t>
        </is>
      </c>
      <c r="S102" t="inlineStr">
        <is>
          <t>Full ledger row</t>
        </is>
      </c>
    </row>
    <row r="103" spans="1:19" hidden="1">
      <c r="A103" t="inlineStr">
        <is>
          <t>LOOCV0-P1-S0-T-E004</t>
        </is>
      </c>
      <c r="B103" t="inlineStr">
        <is>
          <t>LOOCV0-P1-S0-T</t>
        </is>
      </c>
      <c r="C103" t="inlineStr">
        <is>
          <t>LOOCV0</t>
        </is>
      </c>
      <c r="D103" s="56">
        <v>2025</v>
      </c>
      <c r="E103" s="56" t="inlineStr">
        <is>
          <t>P1</t>
        </is>
      </c>
      <c r="F103" t="inlineStr">
        <is>
          <t>109 Patrick Mill Circle</t>
        </is>
      </c>
      <c r="G103" t="inlineStr">
        <is>
          <t>Table</t>
        </is>
      </c>
      <c r="H103" s="62">
        <v>3</v>
      </c>
      <c r="I103">
        <v>3</v>
      </c>
      <c r="J103" s="65">
        <v>565000</v>
      </c>
      <c r="K103" s="65">
        <v>550000</v>
      </c>
      <c r="L103" s="65">
        <v>518700</v>
      </c>
      <c r="M103" s="56" t="inlineStr">
        <is>
          <t>Yes</t>
        </is>
      </c>
      <c r="N103" t="inlineStr">
        <is>
          <t>Original</t>
        </is>
      </c>
      <c r="O103" t="inlineStr">
        <is>
          <t>QUALIFY</t>
        </is>
      </c>
      <c r="R103" t="inlineStr">
        <is>
          <t>No material QC issue identified.</t>
        </is>
      </c>
      <c r="S103" t="inlineStr">
        <is>
          <t>Full ledger row</t>
        </is>
      </c>
    </row>
    <row r="104" spans="1:19" hidden="1">
      <c r="A104" t="inlineStr">
        <is>
          <t>LOOCV0-P1-S0-T-E005</t>
        </is>
      </c>
      <c r="B104" t="inlineStr">
        <is>
          <t>LOOCV0-P1-S0-T</t>
        </is>
      </c>
      <c r="C104" t="inlineStr">
        <is>
          <t>LOOCV0</t>
        </is>
      </c>
      <c r="D104" s="56">
        <v>2025</v>
      </c>
      <c r="E104" s="56" t="inlineStr">
        <is>
          <t>P1</t>
        </is>
      </c>
      <c r="F104" t="inlineStr">
        <is>
          <t>109 Patrick Mill Circle</t>
        </is>
      </c>
      <c r="G104" t="inlineStr">
        <is>
          <t>Table</t>
        </is>
      </c>
      <c r="H104" s="62">
        <v>4</v>
      </c>
      <c r="I104">
        <v>4</v>
      </c>
      <c r="J104" s="65">
        <v>540000</v>
      </c>
      <c r="K104" s="65">
        <v>545000</v>
      </c>
      <c r="L104" s="65">
        <v>518700</v>
      </c>
      <c r="M104" s="56" t="inlineStr">
        <is>
          <t>Yes</t>
        </is>
      </c>
      <c r="N104" t="inlineStr">
        <is>
          <t>Original</t>
        </is>
      </c>
      <c r="O104" t="inlineStr">
        <is>
          <t>QUALIFY</t>
        </is>
      </c>
      <c r="R104" t="inlineStr">
        <is>
          <t>No material QC issue identified.</t>
        </is>
      </c>
      <c r="S104" t="inlineStr">
        <is>
          <t>Full ledger row</t>
        </is>
      </c>
    </row>
    <row r="105" spans="1:19" hidden="1">
      <c r="A105" t="inlineStr">
        <is>
          <t>LOOCV0-P1-S0-T-E006</t>
        </is>
      </c>
      <c r="B105" t="inlineStr">
        <is>
          <t>LOOCV0-P1-S0-T</t>
        </is>
      </c>
      <c r="C105" t="inlineStr">
        <is>
          <t>LOOCV0</t>
        </is>
      </c>
      <c r="D105" s="56">
        <v>2025</v>
      </c>
      <c r="E105" s="56" t="inlineStr">
        <is>
          <t>P1</t>
        </is>
      </c>
      <c r="F105" t="inlineStr">
        <is>
          <t>109 Patrick Mill Circle</t>
        </is>
      </c>
      <c r="G105" t="inlineStr">
        <is>
          <t>Table</t>
        </is>
      </c>
      <c r="H105" s="62">
        <v>5</v>
      </c>
      <c r="I105">
        <v>5</v>
      </c>
      <c r="J105" s="65">
        <v>540000</v>
      </c>
      <c r="K105" s="65">
        <v>545000</v>
      </c>
      <c r="L105" s="65">
        <v>518700</v>
      </c>
      <c r="M105" s="56" t="inlineStr">
        <is>
          <t>Yes</t>
        </is>
      </c>
      <c r="N105" t="inlineStr">
        <is>
          <t>Original</t>
        </is>
      </c>
      <c r="O105" t="inlineStr">
        <is>
          <t>QUALIFY</t>
        </is>
      </c>
      <c r="R105" t="inlineStr">
        <is>
          <t>No material QC issue identified.</t>
        </is>
      </c>
      <c r="S105" t="inlineStr">
        <is>
          <t>Full ledger row</t>
        </is>
      </c>
    </row>
    <row r="106" spans="1:19" hidden="1">
      <c r="A106" t="inlineStr">
        <is>
          <t>LOOCV0-P1-S0-T-E007</t>
        </is>
      </c>
      <c r="B106" t="inlineStr">
        <is>
          <t>LOOCV0-P1-S0-T</t>
        </is>
      </c>
      <c r="C106" t="inlineStr">
        <is>
          <t>LOOCV0</t>
        </is>
      </c>
      <c r="D106" s="56">
        <v>2025</v>
      </c>
      <c r="E106" s="56" t="inlineStr">
        <is>
          <t>P1</t>
        </is>
      </c>
      <c r="F106" t="inlineStr">
        <is>
          <t>109 Patrick Mill Circle</t>
        </is>
      </c>
      <c r="G106" t="inlineStr">
        <is>
          <t>Table</t>
        </is>
      </c>
      <c r="I106">
        <v>6</v>
      </c>
      <c r="J106" s="65">
        <v>535000</v>
      </c>
      <c r="K106" s="65">
        <v>540000</v>
      </c>
      <c r="L106" s="65">
        <v>518700</v>
      </c>
      <c r="M106" s="56" t="inlineStr">
        <is>
          <t>No</t>
        </is>
      </c>
      <c r="N106" t="inlineStr">
        <is>
          <t>Original</t>
        </is>
      </c>
      <c r="O106" t="inlineStr">
        <is>
          <t>EXCLUDE</t>
        </is>
      </c>
      <c r="Q106">
        <v>12</v>
      </c>
      <c r="R106" t="inlineStr">
        <is>
          <t>Excluded because the Decision Function removed P2/P3 from the primary valuation based on transaction chronology, materially altering the supplied LOOCV0 evidence surface. Exclusion is process/state based, not numerical-result based.</t>
        </is>
      </c>
      <c r="S106" t="inlineStr">
        <is>
          <t>Full ledger row</t>
        </is>
      </c>
    </row>
    <row r="107" spans="1:19" hidden="1">
      <c r="A107" t="inlineStr">
        <is>
          <t>LOOCV0-P1-S0-T-E009</t>
        </is>
      </c>
      <c r="B107" t="inlineStr">
        <is>
          <t>LOOCV0-P1-S0-T</t>
        </is>
      </c>
      <c r="C107" t="inlineStr">
        <is>
          <t>LOOCV0</t>
        </is>
      </c>
      <c r="D107" s="56">
        <v>2025</v>
      </c>
      <c r="E107" s="56" t="inlineStr">
        <is>
          <t>P1</t>
        </is>
      </c>
      <c r="F107" t="inlineStr">
        <is>
          <t>109 Patrick Mill Circle</t>
        </is>
      </c>
      <c r="G107" t="inlineStr">
        <is>
          <t>Table</t>
        </is>
      </c>
      <c r="H107" s="62">
        <v>7</v>
      </c>
      <c r="I107">
        <v>7</v>
      </c>
      <c r="J107" s="65">
        <v>555000</v>
      </c>
      <c r="K107" s="65">
        <v>545000</v>
      </c>
      <c r="L107" s="65">
        <v>518700</v>
      </c>
      <c r="M107" s="56" t="inlineStr">
        <is>
          <t>Yes</t>
        </is>
      </c>
      <c r="N107" t="inlineStr">
        <is>
          <t>Original</t>
        </is>
      </c>
      <c r="O107" t="inlineStr">
        <is>
          <t>QUALIFY</t>
        </is>
      </c>
      <c r="R107" t="inlineStr">
        <is>
          <t>No material QC issue identified.</t>
        </is>
      </c>
      <c r="S107" t="inlineStr">
        <is>
          <t>Full ledger row</t>
        </is>
      </c>
    </row>
    <row r="108" spans="1:19" hidden="1">
      <c r="A108" t="inlineStr">
        <is>
          <t>LOOCV0-P1-S0-T-E010</t>
        </is>
      </c>
      <c r="B108" t="inlineStr">
        <is>
          <t>LOOCV0-P1-S0-T</t>
        </is>
      </c>
      <c r="C108" t="inlineStr">
        <is>
          <t>LOOCV0</t>
        </is>
      </c>
      <c r="D108" s="56">
        <v>2025</v>
      </c>
      <c r="E108" s="56" t="inlineStr">
        <is>
          <t>P1</t>
        </is>
      </c>
      <c r="F108" t="inlineStr">
        <is>
          <t>109 Patrick Mill Circle</t>
        </is>
      </c>
      <c r="G108" t="inlineStr">
        <is>
          <t>Table</t>
        </is>
      </c>
      <c r="H108" s="62">
        <v>8</v>
      </c>
      <c r="I108">
        <v>8</v>
      </c>
      <c r="J108" s="65">
        <v>555000</v>
      </c>
      <c r="K108" s="65">
        <v>545000</v>
      </c>
      <c r="L108" s="65">
        <v>518700</v>
      </c>
      <c r="M108" s="56" t="inlineStr">
        <is>
          <t>Yes</t>
        </is>
      </c>
      <c r="N108" t="inlineStr">
        <is>
          <t>Original</t>
        </is>
      </c>
      <c r="O108" t="inlineStr">
        <is>
          <t>QUALIFY</t>
        </is>
      </c>
      <c r="R108" t="inlineStr">
        <is>
          <t>No material QC issue identified.</t>
        </is>
      </c>
      <c r="S108" t="inlineStr">
        <is>
          <t>Full ledger row</t>
        </is>
      </c>
    </row>
    <row r="109" spans="1:19" hidden="1">
      <c r="A109" t="inlineStr">
        <is>
          <t>LOOCV0-P1-S0-T-E011</t>
        </is>
      </c>
      <c r="B109" t="inlineStr">
        <is>
          <t>LOOCV0-P1-S0-T</t>
        </is>
      </c>
      <c r="C109" t="inlineStr">
        <is>
          <t>LOOCV0</t>
        </is>
      </c>
      <c r="D109" s="56">
        <v>2025</v>
      </c>
      <c r="E109" s="56" t="inlineStr">
        <is>
          <t>P1</t>
        </is>
      </c>
      <c r="F109" t="inlineStr">
        <is>
          <t>109 Patrick Mill Circle</t>
        </is>
      </c>
      <c r="G109" t="inlineStr">
        <is>
          <t>Table</t>
        </is>
      </c>
      <c r="H109" s="62">
        <v>9</v>
      </c>
      <c r="I109">
        <v>9</v>
      </c>
      <c r="J109" s="65">
        <v>545000</v>
      </c>
      <c r="K109" s="65">
        <v>547500</v>
      </c>
      <c r="L109" s="65">
        <v>518700</v>
      </c>
      <c r="M109" s="56" t="inlineStr">
        <is>
          <t>Yes</t>
        </is>
      </c>
      <c r="N109" t="inlineStr">
        <is>
          <t>Original</t>
        </is>
      </c>
      <c r="O109" t="inlineStr">
        <is>
          <t>QUALIFY</t>
        </is>
      </c>
      <c r="R109" t="inlineStr">
        <is>
          <t>No material QC issue identified.</t>
        </is>
      </c>
      <c r="S109" t="inlineStr">
        <is>
          <t>Full ledger row</t>
        </is>
      </c>
    </row>
    <row r="110" spans="1:19" hidden="1">
      <c r="A110" t="inlineStr">
        <is>
          <t>LOOCV0-P1-S0-T-E012</t>
        </is>
      </c>
      <c r="B110" t="inlineStr">
        <is>
          <t>LOOCV0-P1-S0-T</t>
        </is>
      </c>
      <c r="C110" t="inlineStr">
        <is>
          <t>LOOCV0</t>
        </is>
      </c>
      <c r="D110" s="56">
        <v>2025</v>
      </c>
      <c r="E110" s="56" t="inlineStr">
        <is>
          <t>P1</t>
        </is>
      </c>
      <c r="F110" t="inlineStr">
        <is>
          <t>109 Patrick Mill Circle</t>
        </is>
      </c>
      <c r="G110" t="inlineStr">
        <is>
          <t>Table</t>
        </is>
      </c>
      <c r="H110" s="62">
        <v>10</v>
      </c>
      <c r="I110">
        <v>10</v>
      </c>
      <c r="J110" s="65">
        <v>535000</v>
      </c>
      <c r="K110" s="65">
        <v>545000</v>
      </c>
      <c r="L110" s="65">
        <v>518700</v>
      </c>
      <c r="M110" s="56" t="inlineStr">
        <is>
          <t>Yes</t>
        </is>
      </c>
      <c r="N110" t="inlineStr">
        <is>
          <t>Original</t>
        </is>
      </c>
      <c r="O110" t="inlineStr">
        <is>
          <t>QUALIFY</t>
        </is>
      </c>
      <c r="R110" t="inlineStr">
        <is>
          <t>No material QC issue identified.</t>
        </is>
      </c>
      <c r="S110" t="inlineStr">
        <is>
          <t>Full ledger row</t>
        </is>
      </c>
    </row>
    <row r="111" spans="1:19" hidden="1">
      <c r="A111" t="inlineStr">
        <is>
          <t>LOOCV0-P1-S0-T-E003</t>
        </is>
      </c>
      <c r="B111" t="inlineStr">
        <is>
          <t>LOOCV0-P1-S0-T</t>
        </is>
      </c>
      <c r="C111" t="inlineStr">
        <is>
          <t>LOOCV0</t>
        </is>
      </c>
      <c r="D111" s="56">
        <v>2025</v>
      </c>
      <c r="E111" s="56" t="inlineStr">
        <is>
          <t>P1</t>
        </is>
      </c>
      <c r="F111" t="inlineStr">
        <is>
          <t>109 Patrick Mill Circle</t>
        </is>
      </c>
      <c r="G111" t="inlineStr">
        <is>
          <t>Table</t>
        </is>
      </c>
      <c r="H111" s="62">
        <v>2</v>
      </c>
      <c r="I111">
        <v>11</v>
      </c>
      <c r="J111" s="65">
        <v>550000</v>
      </c>
      <c r="K111" s="65">
        <v>540000</v>
      </c>
      <c r="L111" s="65">
        <v>518700</v>
      </c>
      <c r="M111" s="56" t="inlineStr">
        <is>
          <t>Yes</t>
        </is>
      </c>
      <c r="N111" t="inlineStr">
        <is>
          <t>Original</t>
        </is>
      </c>
      <c r="O111" t="inlineStr">
        <is>
          <t>QUALIFY</t>
        </is>
      </c>
      <c r="P111">
        <v>2</v>
      </c>
      <c r="R111" t="inlineStr">
        <is>
          <t>Replacement execution for excluded Run 2; generated to restore official n=10 ...</t>
        </is>
      </c>
      <c r="S111" t="inlineStr">
        <is>
          <t>Full ledger row</t>
        </is>
      </c>
    </row>
    <row r="112" spans="1:19" hidden="1">
      <c r="A112" t="inlineStr">
        <is>
          <t>LOOCV0-P1-S0-T-E008</t>
        </is>
      </c>
      <c r="B112" t="inlineStr">
        <is>
          <t>LOOCV0-P1-S0-T</t>
        </is>
      </c>
      <c r="C112" t="inlineStr">
        <is>
          <t>LOOCV0</t>
        </is>
      </c>
      <c r="D112" s="56">
        <v>2025</v>
      </c>
      <c r="E112" s="56" t="inlineStr">
        <is>
          <t>P1</t>
        </is>
      </c>
      <c r="F112" t="inlineStr">
        <is>
          <t>109 Patrick Mill Circle</t>
        </is>
      </c>
      <c r="G112" t="inlineStr">
        <is>
          <t>Table</t>
        </is>
      </c>
      <c r="H112" s="62">
        <v>6</v>
      </c>
      <c r="I112">
        <v>12</v>
      </c>
      <c r="J112" s="65">
        <v>550000</v>
      </c>
      <c r="K112" s="65">
        <v>545000</v>
      </c>
      <c r="L112" s="65">
        <v>518700</v>
      </c>
      <c r="M112" s="56" t="inlineStr">
        <is>
          <t>Yes</t>
        </is>
      </c>
      <c r="N112" t="inlineStr">
        <is>
          <t>Original</t>
        </is>
      </c>
      <c r="O112" t="inlineStr">
        <is>
          <t>QUALIFY</t>
        </is>
      </c>
      <c r="P112">
        <v>6</v>
      </c>
      <c r="R112" t="inlineStr">
        <is>
          <t>Replacement execution for excluded Run 6; generated after QC determination that Run 6 materially altered the supplied evidence surface by excluding P2/P3. Restores official n=10 ensemble membership.</t>
        </is>
      </c>
      <c r="S112" t="inlineStr">
        <is>
          <t>Full ledger row</t>
        </is>
      </c>
    </row>
    <row r="113" spans="1:19" hidden="1">
      <c r="A113" t="inlineStr">
        <is>
          <t>LOOCV0-P2-S0-T-E001</t>
        </is>
      </c>
      <c r="B113" t="inlineStr">
        <is>
          <t>LOOCV0-P2-S0-T</t>
        </is>
      </c>
      <c r="C113" t="inlineStr">
        <is>
          <t>LOOCV0</t>
        </is>
      </c>
      <c r="D113" s="56">
        <v>2025</v>
      </c>
      <c r="E113" s="56" t="inlineStr">
        <is>
          <t>P2</t>
        </is>
      </c>
      <c r="F113" t="inlineStr">
        <is>
          <t>265 Patrick Mill Circle</t>
        </is>
      </c>
      <c r="G113" t="inlineStr">
        <is>
          <t>Table</t>
        </is>
      </c>
      <c r="H113" s="62">
        <v>1</v>
      </c>
      <c r="I113">
        <v>1</v>
      </c>
      <c r="J113" s="65">
        <v>735000</v>
      </c>
      <c r="K113" s="65">
        <v>685000</v>
      </c>
      <c r="L113" s="65">
        <v>675000</v>
      </c>
      <c r="M113" s="56" t="inlineStr">
        <is>
          <t>Yes</t>
        </is>
      </c>
      <c r="N113" t="inlineStr">
        <is>
          <t>Original</t>
        </is>
      </c>
      <c r="O113" t="inlineStr">
        <is>
          <t>QUALIFY</t>
        </is>
      </c>
      <c r="R113" t="inlineStr">
        <is>
          <t>Input table contains stray S2 wording in calculation note; QC found no materi...</t>
        </is>
      </c>
      <c r="S113" t="inlineStr">
        <is>
          <t>Full ledger row</t>
        </is>
      </c>
    </row>
    <row r="114" spans="1:19" hidden="1">
      <c r="A114" t="inlineStr">
        <is>
          <t>LOOCV0-P2-S0-T-E002</t>
        </is>
      </c>
      <c r="B114" t="inlineStr">
        <is>
          <t>LOOCV0-P2-S0-T</t>
        </is>
      </c>
      <c r="C114" t="inlineStr">
        <is>
          <t>LOOCV0</t>
        </is>
      </c>
      <c r="D114" s="56">
        <v>2025</v>
      </c>
      <c r="E114" s="56" t="inlineStr">
        <is>
          <t>P2</t>
        </is>
      </c>
      <c r="F114" t="inlineStr">
        <is>
          <t>265 Patrick Mill Circle</t>
        </is>
      </c>
      <c r="G114" t="inlineStr">
        <is>
          <t>Table</t>
        </is>
      </c>
      <c r="H114" s="62">
        <v>2</v>
      </c>
      <c r="I114">
        <v>2</v>
      </c>
      <c r="J114" s="65">
        <v>735000</v>
      </c>
      <c r="K114" s="65">
        <v>685000</v>
      </c>
      <c r="L114" s="65">
        <v>675000</v>
      </c>
      <c r="M114" s="56" t="inlineStr">
        <is>
          <t>Yes</t>
        </is>
      </c>
      <c r="N114" t="inlineStr">
        <is>
          <t>Original</t>
        </is>
      </c>
      <c r="O114" t="inlineStr">
        <is>
          <t>QUALIFY</t>
        </is>
      </c>
      <c r="R114" t="inlineStr">
        <is>
          <t>Input table contains stray S2 wording in calculation note; QC found no materi...</t>
        </is>
      </c>
      <c r="S114" t="inlineStr">
        <is>
          <t>Full ledger row</t>
        </is>
      </c>
    </row>
    <row r="115" spans="1:19" hidden="1">
      <c r="A115" t="inlineStr">
        <is>
          <t>LOOCV0-P2-S0-T-E003</t>
        </is>
      </c>
      <c r="B115" t="inlineStr">
        <is>
          <t>LOOCV0-P2-S0-T</t>
        </is>
      </c>
      <c r="C115" t="inlineStr">
        <is>
          <t>LOOCV0</t>
        </is>
      </c>
      <c r="D115" s="56">
        <v>2025</v>
      </c>
      <c r="E115" s="56" t="inlineStr">
        <is>
          <t>P2</t>
        </is>
      </c>
      <c r="F115" t="inlineStr">
        <is>
          <t>265 Patrick Mill Circle</t>
        </is>
      </c>
      <c r="G115" t="inlineStr">
        <is>
          <t>Table</t>
        </is>
      </c>
      <c r="H115" s="62">
        <v>3</v>
      </c>
      <c r="I115">
        <v>3</v>
      </c>
      <c r="J115" s="65">
        <v>750000</v>
      </c>
      <c r="K115" s="65">
        <v>685000</v>
      </c>
      <c r="L115" s="65">
        <v>675000</v>
      </c>
      <c r="M115" s="56" t="inlineStr">
        <is>
          <t>Yes</t>
        </is>
      </c>
      <c r="N115" t="inlineStr">
        <is>
          <t>Original</t>
        </is>
      </c>
      <c r="O115" t="inlineStr">
        <is>
          <t>QUALIFY</t>
        </is>
      </c>
      <c r="R115" t="inlineStr">
        <is>
          <t>Input table contains stray S2 wording in calculation note; QC found no materi...</t>
        </is>
      </c>
      <c r="S115" t="inlineStr">
        <is>
          <t>Full ledger row</t>
        </is>
      </c>
    </row>
    <row r="116" spans="1:19" hidden="1">
      <c r="A116" t="inlineStr">
        <is>
          <t>LOOCV0-P2-S0-T-E004</t>
        </is>
      </c>
      <c r="B116" t="inlineStr">
        <is>
          <t>LOOCV0-P2-S0-T</t>
        </is>
      </c>
      <c r="C116" t="inlineStr">
        <is>
          <t>LOOCV0</t>
        </is>
      </c>
      <c r="D116" s="56">
        <v>2025</v>
      </c>
      <c r="E116" s="56" t="inlineStr">
        <is>
          <t>P2</t>
        </is>
      </c>
      <c r="F116" t="inlineStr">
        <is>
          <t>265 Patrick Mill Circle</t>
        </is>
      </c>
      <c r="G116" t="inlineStr">
        <is>
          <t>Table</t>
        </is>
      </c>
      <c r="H116" s="62">
        <v>4</v>
      </c>
      <c r="I116">
        <v>4</v>
      </c>
      <c r="J116" s="65">
        <v>685000</v>
      </c>
      <c r="K116" s="65">
        <v>680000</v>
      </c>
      <c r="L116" s="65">
        <v>675000</v>
      </c>
      <c r="M116" s="56" t="inlineStr">
        <is>
          <t>Yes</t>
        </is>
      </c>
      <c r="N116" t="inlineStr">
        <is>
          <t>Original</t>
        </is>
      </c>
      <c r="O116" t="inlineStr">
        <is>
          <t>QUALIFY</t>
        </is>
      </c>
      <c r="R116" t="inlineStr">
        <is>
          <t>Input table contains stray S2 wording in calculation note; QC found no materi...</t>
        </is>
      </c>
      <c r="S116" t="inlineStr">
        <is>
          <t>Full ledger row</t>
        </is>
      </c>
    </row>
    <row r="117" spans="1:19" hidden="1">
      <c r="A117" t="inlineStr">
        <is>
          <t>LOOCV0-P2-S0-T-E005</t>
        </is>
      </c>
      <c r="B117" t="inlineStr">
        <is>
          <t>LOOCV0-P2-S0-T</t>
        </is>
      </c>
      <c r="C117" t="inlineStr">
        <is>
          <t>LOOCV0</t>
        </is>
      </c>
      <c r="D117" s="56">
        <v>2025</v>
      </c>
      <c r="E117" s="56" t="inlineStr">
        <is>
          <t>P2</t>
        </is>
      </c>
      <c r="F117" t="inlineStr">
        <is>
          <t>265 Patrick Mill Circle</t>
        </is>
      </c>
      <c r="G117" t="inlineStr">
        <is>
          <t>Table</t>
        </is>
      </c>
      <c r="H117" s="62">
        <v>5</v>
      </c>
      <c r="I117">
        <v>5</v>
      </c>
      <c r="J117" s="65">
        <v>735000</v>
      </c>
      <c r="K117" s="65">
        <v>690000</v>
      </c>
      <c r="L117" s="65">
        <v>675000</v>
      </c>
      <c r="M117" s="56" t="inlineStr">
        <is>
          <t>Yes</t>
        </is>
      </c>
      <c r="N117" t="inlineStr">
        <is>
          <t>Original</t>
        </is>
      </c>
      <c r="O117" t="inlineStr">
        <is>
          <t>QUALIFY</t>
        </is>
      </c>
      <c r="R117" t="inlineStr">
        <is>
          <t>Input table contains stray S2 wording in calculation note; QC found no materi...</t>
        </is>
      </c>
      <c r="S117" t="inlineStr">
        <is>
          <t>Full ledger row</t>
        </is>
      </c>
    </row>
    <row r="118" spans="1:19" hidden="1">
      <c r="A118" t="inlineStr">
        <is>
          <t>LOOCV0-P2-S0-T-E006</t>
        </is>
      </c>
      <c r="B118" t="inlineStr">
        <is>
          <t>LOOCV0-P2-S0-T</t>
        </is>
      </c>
      <c r="C118" t="inlineStr">
        <is>
          <t>LOOCV0</t>
        </is>
      </c>
      <c r="D118" s="56">
        <v>2025</v>
      </c>
      <c r="E118" s="56" t="inlineStr">
        <is>
          <t>P2</t>
        </is>
      </c>
      <c r="F118" t="inlineStr">
        <is>
          <t>265 Patrick Mill Circle</t>
        </is>
      </c>
      <c r="G118" t="inlineStr">
        <is>
          <t>Table</t>
        </is>
      </c>
      <c r="H118" s="62">
        <v>6</v>
      </c>
      <c r="I118">
        <v>6</v>
      </c>
      <c r="J118" s="65">
        <v>715000</v>
      </c>
      <c r="K118" s="65">
        <v>670000</v>
      </c>
      <c r="L118" s="65">
        <v>675000</v>
      </c>
      <c r="M118" s="56" t="inlineStr">
        <is>
          <t>Yes</t>
        </is>
      </c>
      <c r="N118" t="inlineStr">
        <is>
          <t>Original</t>
        </is>
      </c>
      <c r="O118" t="inlineStr">
        <is>
          <t>QUALIFY</t>
        </is>
      </c>
      <c r="R118" t="inlineStr">
        <is>
          <t>Input table contains stray S2 wording in calculation note; QC found no materi...</t>
        </is>
      </c>
      <c r="S118" t="inlineStr">
        <is>
          <t>Full ledger row</t>
        </is>
      </c>
    </row>
    <row r="119" spans="1:19" hidden="1">
      <c r="A119" t="inlineStr">
        <is>
          <t>LOOCV0-P2-S0-T-E007</t>
        </is>
      </c>
      <c r="B119" t="inlineStr">
        <is>
          <t>LOOCV0-P2-S0-T</t>
        </is>
      </c>
      <c r="C119" t="inlineStr">
        <is>
          <t>LOOCV0</t>
        </is>
      </c>
      <c r="D119" s="56">
        <v>2025</v>
      </c>
      <c r="E119" s="56" t="inlineStr">
        <is>
          <t>P2</t>
        </is>
      </c>
      <c r="F119" t="inlineStr">
        <is>
          <t>265 Patrick Mill Circle</t>
        </is>
      </c>
      <c r="G119" t="inlineStr">
        <is>
          <t>Table</t>
        </is>
      </c>
      <c r="H119" s="62">
        <v>7</v>
      </c>
      <c r="I119">
        <v>7</v>
      </c>
      <c r="J119" s="65">
        <v>715000</v>
      </c>
      <c r="K119" s="65">
        <v>690000</v>
      </c>
      <c r="L119" s="65">
        <v>675000</v>
      </c>
      <c r="M119" s="56" t="inlineStr">
        <is>
          <t>Yes</t>
        </is>
      </c>
      <c r="N119" t="inlineStr">
        <is>
          <t>Original</t>
        </is>
      </c>
      <c r="O119" t="inlineStr">
        <is>
          <t>QUALIFY</t>
        </is>
      </c>
      <c r="R119" t="inlineStr">
        <is>
          <t>Input table contains stray S2 wording in calculation note; QC found no materi...</t>
        </is>
      </c>
      <c r="S119" t="inlineStr">
        <is>
          <t>Full ledger row</t>
        </is>
      </c>
    </row>
    <row r="120" spans="1:19" hidden="1">
      <c r="A120" t="inlineStr">
        <is>
          <t>LOOCV0-P2-S0-T-E008</t>
        </is>
      </c>
      <c r="B120" t="inlineStr">
        <is>
          <t>LOOCV0-P2-S0-T</t>
        </is>
      </c>
      <c r="C120" t="inlineStr">
        <is>
          <t>LOOCV0</t>
        </is>
      </c>
      <c r="D120" s="56">
        <v>2025</v>
      </c>
      <c r="E120" s="56" t="inlineStr">
        <is>
          <t>P2</t>
        </is>
      </c>
      <c r="F120" t="inlineStr">
        <is>
          <t>265 Patrick Mill Circle</t>
        </is>
      </c>
      <c r="G120" t="inlineStr">
        <is>
          <t>Table</t>
        </is>
      </c>
      <c r="H120" s="62">
        <v>8</v>
      </c>
      <c r="I120">
        <v>8</v>
      </c>
      <c r="J120" s="65">
        <v>755000</v>
      </c>
      <c r="K120" s="65">
        <v>675000</v>
      </c>
      <c r="L120" s="65">
        <v>675000</v>
      </c>
      <c r="M120" s="56" t="inlineStr">
        <is>
          <t>Yes</t>
        </is>
      </c>
      <c r="N120" t="inlineStr">
        <is>
          <t>Original</t>
        </is>
      </c>
      <c r="O120" t="inlineStr">
        <is>
          <t>QUALIFY</t>
        </is>
      </c>
      <c r="R120" t="inlineStr">
        <is>
          <t>Input table contains stray S2 wording in calculation note; QC found no materi...</t>
        </is>
      </c>
      <c r="S120" t="inlineStr">
        <is>
          <t>Full ledger row</t>
        </is>
      </c>
    </row>
    <row r="121" spans="1:19" hidden="1">
      <c r="A121" t="inlineStr">
        <is>
          <t>LOOCV0-P2-S0-T-E009</t>
        </is>
      </c>
      <c r="B121" t="inlineStr">
        <is>
          <t>LOOCV0-P2-S0-T</t>
        </is>
      </c>
      <c r="C121" t="inlineStr">
        <is>
          <t>LOOCV0</t>
        </is>
      </c>
      <c r="D121" s="56">
        <v>2025</v>
      </c>
      <c r="E121" s="56" t="inlineStr">
        <is>
          <t>P2</t>
        </is>
      </c>
      <c r="F121" t="inlineStr">
        <is>
          <t>265 Patrick Mill Circle</t>
        </is>
      </c>
      <c r="G121" t="inlineStr">
        <is>
          <t>Table</t>
        </is>
      </c>
      <c r="H121" s="62">
        <v>9</v>
      </c>
      <c r="I121">
        <v>9</v>
      </c>
      <c r="J121" s="65">
        <v>740000</v>
      </c>
      <c r="K121" s="65">
        <v>690000</v>
      </c>
      <c r="L121" s="65">
        <v>675000</v>
      </c>
      <c r="M121" s="56" t="inlineStr">
        <is>
          <t>Yes</t>
        </is>
      </c>
      <c r="N121" t="inlineStr">
        <is>
          <t>Original</t>
        </is>
      </c>
      <c r="O121" t="inlineStr">
        <is>
          <t>QUALIFY</t>
        </is>
      </c>
      <c r="R121" t="inlineStr">
        <is>
          <t>Input table contains stray S2 wording in calculation note; QC found no materi...</t>
        </is>
      </c>
      <c r="S121" t="inlineStr">
        <is>
          <t>Full ledger row</t>
        </is>
      </c>
    </row>
    <row r="122" spans="1:19" hidden="1">
      <c r="A122" t="inlineStr">
        <is>
          <t>LOOCV0-P2-S0-T-E010</t>
        </is>
      </c>
      <c r="B122" t="inlineStr">
        <is>
          <t>LOOCV0-P2-S0-T</t>
        </is>
      </c>
      <c r="C122" t="inlineStr">
        <is>
          <t>LOOCV0</t>
        </is>
      </c>
      <c r="D122" s="56">
        <v>2025</v>
      </c>
      <c r="E122" s="56" t="inlineStr">
        <is>
          <t>P2</t>
        </is>
      </c>
      <c r="F122" t="inlineStr">
        <is>
          <t>265 Patrick Mill Circle</t>
        </is>
      </c>
      <c r="G122" t="inlineStr">
        <is>
          <t>Table</t>
        </is>
      </c>
      <c r="H122" s="62">
        <v>10</v>
      </c>
      <c r="I122">
        <v>10</v>
      </c>
      <c r="J122" s="65">
        <v>735000</v>
      </c>
      <c r="K122" s="65">
        <v>680000</v>
      </c>
      <c r="L122" s="65">
        <v>675000</v>
      </c>
      <c r="M122" s="56" t="inlineStr">
        <is>
          <t>Yes</t>
        </is>
      </c>
      <c r="N122" t="inlineStr">
        <is>
          <t>Original</t>
        </is>
      </c>
      <c r="O122" t="inlineStr">
        <is>
          <t>QUALIFY</t>
        </is>
      </c>
      <c r="R122" t="inlineStr">
        <is>
          <t>Input table contains stray S2 wording in calculation note; QC found no materi...</t>
        </is>
      </c>
      <c r="S122" t="inlineStr">
        <is>
          <t>Full ledger row</t>
        </is>
      </c>
    </row>
    <row r="123" spans="1:19" hidden="1">
      <c r="A123" t="inlineStr">
        <is>
          <t>LOOCV0-P3-S0-T-E006</t>
        </is>
      </c>
      <c r="B123" t="inlineStr">
        <is>
          <t>LOOCV0-P3-S0-T</t>
        </is>
      </c>
      <c r="C123" t="inlineStr">
        <is>
          <t>LOOCV0</t>
        </is>
      </c>
      <c r="D123" s="56">
        <v>2025</v>
      </c>
      <c r="E123" s="56" t="inlineStr">
        <is>
          <t>P3</t>
        </is>
      </c>
      <c r="F123" t="inlineStr">
        <is>
          <t>149 Seaside Circle</t>
        </is>
      </c>
      <c r="G123" t="inlineStr">
        <is>
          <t>Table</t>
        </is>
      </c>
      <c r="H123" s="62">
        <v>1</v>
      </c>
      <c r="I123">
        <v>1</v>
      </c>
      <c r="J123" s="65">
        <v>675000</v>
      </c>
      <c r="K123" s="65">
        <v>675000</v>
      </c>
      <c r="L123" s="65">
        <v>620000</v>
      </c>
      <c r="M123" s="56" t="inlineStr">
        <is>
          <t>Yes</t>
        </is>
      </c>
      <c r="N123" t="inlineStr">
        <is>
          <t>Original</t>
        </is>
      </c>
      <c r="O123" t="inlineStr">
        <is>
          <t>QUALIFY</t>
        </is>
      </c>
      <c r="S123" t="inlineStr">
        <is>
          <t>Official analytical row</t>
        </is>
      </c>
    </row>
    <row r="124" spans="1:19" hidden="1">
      <c r="A124" t="inlineStr">
        <is>
          <t>LOOCV0-P3-S0-T-E007</t>
        </is>
      </c>
      <c r="B124" t="inlineStr">
        <is>
          <t>LOOCV0-P3-S0-T</t>
        </is>
      </c>
      <c r="C124" t="inlineStr">
        <is>
          <t>LOOCV0</t>
        </is>
      </c>
      <c r="D124" s="56">
        <v>2025</v>
      </c>
      <c r="E124" s="56" t="inlineStr">
        <is>
          <t>P3</t>
        </is>
      </c>
      <c r="F124" t="inlineStr">
        <is>
          <t>149 Seaside Circle</t>
        </is>
      </c>
      <c r="G124" t="inlineStr">
        <is>
          <t>Table</t>
        </is>
      </c>
      <c r="H124" s="62">
        <v>2</v>
      </c>
      <c r="I124">
        <v>2</v>
      </c>
      <c r="J124" s="65">
        <v>675000</v>
      </c>
      <c r="K124" s="65">
        <v>675000</v>
      </c>
      <c r="L124" s="65">
        <v>620000</v>
      </c>
      <c r="M124" s="56" t="inlineStr">
        <is>
          <t>Yes</t>
        </is>
      </c>
      <c r="N124" t="inlineStr">
        <is>
          <t>Original</t>
        </is>
      </c>
      <c r="O124" t="inlineStr">
        <is>
          <t>QUALIFY</t>
        </is>
      </c>
      <c r="S124" t="inlineStr">
        <is>
          <t>Official analytical row</t>
        </is>
      </c>
    </row>
    <row r="125" spans="1:19" hidden="1">
      <c r="A125" t="inlineStr">
        <is>
          <t>LOOCV0-P3-S0-T-E008</t>
        </is>
      </c>
      <c r="B125" t="inlineStr">
        <is>
          <t>LOOCV0-P3-S0-T</t>
        </is>
      </c>
      <c r="C125" t="inlineStr">
        <is>
          <t>LOOCV0</t>
        </is>
      </c>
      <c r="D125" s="56">
        <v>2025</v>
      </c>
      <c r="E125" s="56" t="inlineStr">
        <is>
          <t>P3</t>
        </is>
      </c>
      <c r="F125" t="inlineStr">
        <is>
          <t>149 Seaside Circle</t>
        </is>
      </c>
      <c r="G125" t="inlineStr">
        <is>
          <t>Table</t>
        </is>
      </c>
      <c r="H125" s="62">
        <v>3</v>
      </c>
      <c r="I125">
        <v>3</v>
      </c>
      <c r="J125" s="65">
        <v>650000</v>
      </c>
      <c r="K125" s="65">
        <v>650000</v>
      </c>
      <c r="L125" s="65">
        <v>620000</v>
      </c>
      <c r="M125" s="56" t="inlineStr">
        <is>
          <t>Yes</t>
        </is>
      </c>
      <c r="N125" t="inlineStr">
        <is>
          <t>Original</t>
        </is>
      </c>
      <c r="O125" t="inlineStr">
        <is>
          <t>QUALIFY</t>
        </is>
      </c>
      <c r="S125" t="inlineStr">
        <is>
          <t>Official analytical row</t>
        </is>
      </c>
    </row>
    <row r="126" spans="1:19" hidden="1">
      <c r="A126" t="inlineStr">
        <is>
          <t>LOOCV0-P3-S0-T-E009</t>
        </is>
      </c>
      <c r="B126" t="inlineStr">
        <is>
          <t>LOOCV0-P3-S0-T</t>
        </is>
      </c>
      <c r="C126" t="inlineStr">
        <is>
          <t>LOOCV0</t>
        </is>
      </c>
      <c r="D126" s="56">
        <v>2025</v>
      </c>
      <c r="E126" s="56" t="inlineStr">
        <is>
          <t>P3</t>
        </is>
      </c>
      <c r="F126" t="inlineStr">
        <is>
          <t>149 Seaside Circle</t>
        </is>
      </c>
      <c r="G126" t="inlineStr">
        <is>
          <t>Table</t>
        </is>
      </c>
      <c r="H126" s="62">
        <v>4</v>
      </c>
      <c r="I126">
        <v>4</v>
      </c>
      <c r="J126" s="65">
        <v>645000</v>
      </c>
      <c r="K126" s="65">
        <v>655000</v>
      </c>
      <c r="L126" s="65">
        <v>620000</v>
      </c>
      <c r="M126" s="56" t="inlineStr">
        <is>
          <t>Yes</t>
        </is>
      </c>
      <c r="N126" t="inlineStr">
        <is>
          <t>Original</t>
        </is>
      </c>
      <c r="O126" t="inlineStr">
        <is>
          <t>QUALIFY</t>
        </is>
      </c>
      <c r="S126" t="inlineStr">
        <is>
          <t>Official analytical row</t>
        </is>
      </c>
    </row>
    <row r="127" spans="1:19" hidden="1">
      <c r="A127" t="inlineStr">
        <is>
          <t>LOOCV0-P3-S0-T-E010</t>
        </is>
      </c>
      <c r="B127" t="inlineStr">
        <is>
          <t>LOOCV0-P3-S0-T</t>
        </is>
      </c>
      <c r="C127" t="inlineStr">
        <is>
          <t>LOOCV0</t>
        </is>
      </c>
      <c r="D127" s="56">
        <v>2025</v>
      </c>
      <c r="E127" s="56" t="inlineStr">
        <is>
          <t>P3</t>
        </is>
      </c>
      <c r="F127" t="inlineStr">
        <is>
          <t>149 Seaside Circle</t>
        </is>
      </c>
      <c r="G127" t="inlineStr">
        <is>
          <t>Table</t>
        </is>
      </c>
      <c r="H127" s="62">
        <v>5</v>
      </c>
      <c r="I127">
        <v>5</v>
      </c>
      <c r="J127" s="65">
        <v>675000</v>
      </c>
      <c r="K127" s="65">
        <v>675000</v>
      </c>
      <c r="L127" s="65">
        <v>620000</v>
      </c>
      <c r="M127" s="56" t="inlineStr">
        <is>
          <t>Yes</t>
        </is>
      </c>
      <c r="N127" t="inlineStr">
        <is>
          <t>Original</t>
        </is>
      </c>
      <c r="O127" t="inlineStr">
        <is>
          <t>QUALIFY</t>
        </is>
      </c>
      <c r="S127" t="inlineStr">
        <is>
          <t>Official analytical row</t>
        </is>
      </c>
    </row>
    <row r="128" spans="1:19" hidden="1">
      <c r="A128" t="inlineStr">
        <is>
          <t>LOOCV0-P3-S0-T-E011</t>
        </is>
      </c>
      <c r="B128" t="inlineStr">
        <is>
          <t>LOOCV0-P3-S0-T</t>
        </is>
      </c>
      <c r="C128" t="inlineStr">
        <is>
          <t>LOOCV0</t>
        </is>
      </c>
      <c r="D128" s="56">
        <v>2025</v>
      </c>
      <c r="E128" s="56" t="inlineStr">
        <is>
          <t>P3</t>
        </is>
      </c>
      <c r="F128" t="inlineStr">
        <is>
          <t>149 Seaside Circle</t>
        </is>
      </c>
      <c r="G128" t="inlineStr">
        <is>
          <t>Table</t>
        </is>
      </c>
      <c r="H128" s="62">
        <v>6</v>
      </c>
      <c r="I128">
        <v>6</v>
      </c>
      <c r="J128" s="65">
        <v>675000</v>
      </c>
      <c r="K128" s="65">
        <v>675000</v>
      </c>
      <c r="L128" s="65">
        <v>620000</v>
      </c>
      <c r="M128" s="56" t="inlineStr">
        <is>
          <t>Yes</t>
        </is>
      </c>
      <c r="N128" t="inlineStr">
        <is>
          <t>Original</t>
        </is>
      </c>
      <c r="O128" t="inlineStr">
        <is>
          <t>QUALIFY</t>
        </is>
      </c>
      <c r="S128" t="inlineStr">
        <is>
          <t>Official analytical row</t>
        </is>
      </c>
    </row>
    <row r="129" spans="1:19" hidden="1">
      <c r="A129" t="inlineStr">
        <is>
          <t>LOOCV0-P3-S0-T-E012</t>
        </is>
      </c>
      <c r="B129" t="inlineStr">
        <is>
          <t>LOOCV0-P3-S0-T</t>
        </is>
      </c>
      <c r="C129" t="inlineStr">
        <is>
          <t>LOOCV0</t>
        </is>
      </c>
      <c r="D129" s="56">
        <v>2025</v>
      </c>
      <c r="E129" s="56" t="inlineStr">
        <is>
          <t>P3</t>
        </is>
      </c>
      <c r="F129" t="inlineStr">
        <is>
          <t>149 Seaside Circle</t>
        </is>
      </c>
      <c r="G129" t="inlineStr">
        <is>
          <t>Table</t>
        </is>
      </c>
      <c r="H129" s="62">
        <v>7</v>
      </c>
      <c r="I129">
        <v>7</v>
      </c>
      <c r="J129" s="65">
        <v>675000</v>
      </c>
      <c r="K129" s="65">
        <v>675000</v>
      </c>
      <c r="L129" s="65">
        <v>620000</v>
      </c>
      <c r="M129" s="56" t="inlineStr">
        <is>
          <t>Yes</t>
        </is>
      </c>
      <c r="N129" t="inlineStr">
        <is>
          <t>Original</t>
        </is>
      </c>
      <c r="O129" t="inlineStr">
        <is>
          <t>QUALIFY</t>
        </is>
      </c>
      <c r="S129" t="inlineStr">
        <is>
          <t>Official analytical row</t>
        </is>
      </c>
    </row>
    <row r="130" spans="1:19" hidden="1">
      <c r="A130" t="inlineStr">
        <is>
          <t>LOOCV0-P3-S0-T-E001</t>
        </is>
      </c>
      <c r="B130" t="inlineStr">
        <is>
          <t>LOOCV0-P3-S0-T</t>
        </is>
      </c>
      <c r="C130" t="inlineStr">
        <is>
          <t>LOOCV0</t>
        </is>
      </c>
      <c r="D130" s="56">
        <v>2025</v>
      </c>
      <c r="E130" s="56" t="inlineStr">
        <is>
          <t>P3</t>
        </is>
      </c>
      <c r="F130" t="inlineStr">
        <is>
          <t>149 Seaside Circle</t>
        </is>
      </c>
      <c r="G130" t="inlineStr">
        <is>
          <t>Table</t>
        </is>
      </c>
      <c r="I130">
        <v>8</v>
      </c>
      <c r="L130" s="65">
        <v>620000</v>
      </c>
      <c r="M130" s="56" t="inlineStr">
        <is>
          <t>No</t>
        </is>
      </c>
      <c r="N130" t="inlineStr">
        <is>
          <t>Original</t>
        </is>
      </c>
      <c r="O130" t="inlineStr">
        <is>
          <t>EXCLUDE</t>
        </is>
      </c>
      <c r="Q130">
        <v>51</v>
      </c>
      <c r="R130" t="inlineStr">
        <is>
          <t>Displaced by Run 51</t>
        </is>
      </c>
      <c r="S130" t="inlineStr">
        <is>
          <t>Lineage only</t>
        </is>
      </c>
    </row>
    <row r="131" spans="1:19" hidden="1">
      <c r="A131" t="inlineStr">
        <is>
          <t>LOOCV0-P3-S0-T-E014</t>
        </is>
      </c>
      <c r="B131" t="inlineStr">
        <is>
          <t>LOOCV0-P3-S0-T</t>
        </is>
      </c>
      <c r="C131" t="inlineStr">
        <is>
          <t>LOOCV0</t>
        </is>
      </c>
      <c r="D131" s="56">
        <v>2025</v>
      </c>
      <c r="E131" s="56" t="inlineStr">
        <is>
          <t>P3</t>
        </is>
      </c>
      <c r="F131" t="inlineStr">
        <is>
          <t>149 Seaside Circle</t>
        </is>
      </c>
      <c r="G131" t="inlineStr">
        <is>
          <t>Table</t>
        </is>
      </c>
      <c r="H131" s="62">
        <v>9</v>
      </c>
      <c r="I131">
        <v>9</v>
      </c>
      <c r="J131" s="65">
        <v>655000</v>
      </c>
      <c r="K131" s="65">
        <v>660000</v>
      </c>
      <c r="L131" s="65">
        <v>620000</v>
      </c>
      <c r="M131" s="56" t="inlineStr">
        <is>
          <t>Yes</t>
        </is>
      </c>
      <c r="N131" t="inlineStr">
        <is>
          <t>Original</t>
        </is>
      </c>
      <c r="O131" t="inlineStr">
        <is>
          <t>QUALIFY</t>
        </is>
      </c>
      <c r="S131" t="inlineStr">
        <is>
          <t>Official analytical row</t>
        </is>
      </c>
    </row>
    <row r="132" spans="1:19" hidden="1">
      <c r="A132" t="inlineStr">
        <is>
          <t>LOOCV0-P3-S0-T-E015</t>
        </is>
      </c>
      <c r="B132" t="inlineStr">
        <is>
          <t>LOOCV0-P3-S0-T</t>
        </is>
      </c>
      <c r="C132" t="inlineStr">
        <is>
          <t>LOOCV0</t>
        </is>
      </c>
      <c r="D132" s="56">
        <v>2025</v>
      </c>
      <c r="E132" s="56" t="inlineStr">
        <is>
          <t>P3</t>
        </is>
      </c>
      <c r="F132" t="inlineStr">
        <is>
          <t>149 Seaside Circle</t>
        </is>
      </c>
      <c r="G132" t="inlineStr">
        <is>
          <t>Table</t>
        </is>
      </c>
      <c r="H132" s="62">
        <v>10</v>
      </c>
      <c r="I132">
        <v>10</v>
      </c>
      <c r="J132" s="65">
        <v>650000</v>
      </c>
      <c r="K132" s="65">
        <v>650000</v>
      </c>
      <c r="L132" s="65">
        <v>620000</v>
      </c>
      <c r="M132" s="56" t="inlineStr">
        <is>
          <t>Yes</t>
        </is>
      </c>
      <c r="N132" t="inlineStr">
        <is>
          <t>Original</t>
        </is>
      </c>
      <c r="O132" t="inlineStr">
        <is>
          <t>QUALIFY</t>
        </is>
      </c>
      <c r="S132" t="inlineStr">
        <is>
          <t>Official analytical row</t>
        </is>
      </c>
    </row>
    <row r="133" spans="1:19" hidden="1">
      <c r="A133" t="inlineStr">
        <is>
          <t>LOOCV0-P3-S0-T-E013</t>
        </is>
      </c>
      <c r="B133" t="inlineStr">
        <is>
          <t>LOOCV0-P3-S0-T</t>
        </is>
      </c>
      <c r="C133" t="inlineStr">
        <is>
          <t>LOOCV0</t>
        </is>
      </c>
      <c r="D133" s="56">
        <v>2025</v>
      </c>
      <c r="E133" s="56" t="inlineStr">
        <is>
          <t>P3</t>
        </is>
      </c>
      <c r="F133" t="inlineStr">
        <is>
          <t>149 Seaside Circle</t>
        </is>
      </c>
      <c r="G133" t="inlineStr">
        <is>
          <t>Table</t>
        </is>
      </c>
      <c r="H133" s="62">
        <v>8</v>
      </c>
      <c r="I133">
        <v>51</v>
      </c>
      <c r="J133" s="65">
        <v>635000</v>
      </c>
      <c r="K133" s="65">
        <v>640000</v>
      </c>
      <c r="L133" s="65">
        <v>620000</v>
      </c>
      <c r="M133" s="56" t="inlineStr">
        <is>
          <t>Yes</t>
        </is>
      </c>
      <c r="N133" t="inlineStr">
        <is>
          <t>Replacement</t>
        </is>
      </c>
      <c r="O133" t="inlineStr">
        <is>
          <t>QUALIFY</t>
        </is>
      </c>
      <c r="P133">
        <v>8</v>
      </c>
      <c r="R133" t="inlineStr">
        <is>
          <t>Run 51 replaces process-control Run 8.</t>
        </is>
      </c>
      <c r="S133" t="inlineStr">
        <is>
          <t>Official analytical row</t>
        </is>
      </c>
    </row>
    <row r="134" spans="1:19" hidden="1">
      <c r="A134" t="inlineStr">
        <is>
          <t>LOOCV0-P4-S0-T-E001</t>
        </is>
      </c>
      <c r="B134" t="inlineStr">
        <is>
          <t>LOOCV0-P4-S0-T</t>
        </is>
      </c>
      <c r="C134" t="inlineStr">
        <is>
          <t>LOOCV0</t>
        </is>
      </c>
      <c r="D134" s="56">
        <v>2025</v>
      </c>
      <c r="E134" s="56" t="inlineStr">
        <is>
          <t>P4</t>
        </is>
      </c>
      <c r="F134" t="inlineStr">
        <is>
          <t>216 Crosstern Court</t>
        </is>
      </c>
      <c r="G134" t="inlineStr">
        <is>
          <t>Table</t>
        </is>
      </c>
      <c r="H134" s="62">
        <v>1</v>
      </c>
      <c r="I134">
        <v>1</v>
      </c>
      <c r="J134" s="65">
        <v>680000</v>
      </c>
      <c r="K134" s="65">
        <v>660000</v>
      </c>
      <c r="L134" s="65">
        <v>654200</v>
      </c>
      <c r="M134" s="56" t="inlineStr">
        <is>
          <t>Yes</t>
        </is>
      </c>
      <c r="N134" t="inlineStr">
        <is>
          <t>Original</t>
        </is>
      </c>
      <c r="O134" t="inlineStr">
        <is>
          <t>QUALIFY</t>
        </is>
      </c>
      <c r="R134" t="inlineStr">
        <is>
          <t>Input table contains stray S2 wording in calculation note; QC found no materi...</t>
        </is>
      </c>
      <c r="S134" t="inlineStr">
        <is>
          <t>Full ledger row</t>
        </is>
      </c>
    </row>
    <row r="135" spans="1:19" hidden="1">
      <c r="A135" t="inlineStr">
        <is>
          <t>LOOCV0-P4-S0-T-E002</t>
        </is>
      </c>
      <c r="B135" t="inlineStr">
        <is>
          <t>LOOCV0-P4-S0-T</t>
        </is>
      </c>
      <c r="C135" t="inlineStr">
        <is>
          <t>LOOCV0</t>
        </is>
      </c>
      <c r="D135" s="56">
        <v>2025</v>
      </c>
      <c r="E135" s="56" t="inlineStr">
        <is>
          <t>P4</t>
        </is>
      </c>
      <c r="F135" t="inlineStr">
        <is>
          <t>216 Crosstern Court</t>
        </is>
      </c>
      <c r="G135" t="inlineStr">
        <is>
          <t>Table</t>
        </is>
      </c>
      <c r="H135" s="62">
        <v>2</v>
      </c>
      <c r="I135">
        <v>2</v>
      </c>
      <c r="J135" s="65">
        <v>685000</v>
      </c>
      <c r="K135" s="65">
        <v>670000</v>
      </c>
      <c r="L135" s="65">
        <v>654200</v>
      </c>
      <c r="M135" s="56" t="inlineStr">
        <is>
          <t>Yes</t>
        </is>
      </c>
      <c r="N135" t="inlineStr">
        <is>
          <t>Original</t>
        </is>
      </c>
      <c r="O135" t="inlineStr">
        <is>
          <t>QUALIFY</t>
        </is>
      </c>
      <c r="R135" t="inlineStr">
        <is>
          <t>Input table contains stray S2 wording in calculation note; QC found no materi...</t>
        </is>
      </c>
      <c r="S135" t="inlineStr">
        <is>
          <t>Full ledger row</t>
        </is>
      </c>
    </row>
    <row r="136" spans="1:19" hidden="1">
      <c r="A136" t="inlineStr">
        <is>
          <t>LOOCV0-P4-S0-T-E003</t>
        </is>
      </c>
      <c r="B136" t="inlineStr">
        <is>
          <t>LOOCV0-P4-S0-T</t>
        </is>
      </c>
      <c r="C136" t="inlineStr">
        <is>
          <t>LOOCV0</t>
        </is>
      </c>
      <c r="D136" s="56">
        <v>2025</v>
      </c>
      <c r="E136" s="56" t="inlineStr">
        <is>
          <t>P4</t>
        </is>
      </c>
      <c r="F136" t="inlineStr">
        <is>
          <t>216 Crosstern Court</t>
        </is>
      </c>
      <c r="G136" t="inlineStr">
        <is>
          <t>Table</t>
        </is>
      </c>
      <c r="H136" s="62">
        <v>3</v>
      </c>
      <c r="I136">
        <v>3</v>
      </c>
      <c r="J136" s="65">
        <v>665000</v>
      </c>
      <c r="K136" s="65">
        <v>660000</v>
      </c>
      <c r="L136" s="65">
        <v>654200</v>
      </c>
      <c r="M136" s="56" t="inlineStr">
        <is>
          <t>Yes</t>
        </is>
      </c>
      <c r="N136" t="inlineStr">
        <is>
          <t>Original</t>
        </is>
      </c>
      <c r="O136" t="inlineStr">
        <is>
          <t>QUALIFY</t>
        </is>
      </c>
      <c r="R136" t="inlineStr">
        <is>
          <t>Input table contains stray S2 wording in calculation note; QC found no materi...</t>
        </is>
      </c>
      <c r="S136" t="inlineStr">
        <is>
          <t>Full ledger row</t>
        </is>
      </c>
    </row>
    <row r="137" spans="1:19" hidden="1">
      <c r="A137" t="inlineStr">
        <is>
          <t>LOOCV0-P4-S0-T-E004</t>
        </is>
      </c>
      <c r="B137" t="inlineStr">
        <is>
          <t>LOOCV0-P4-S0-T</t>
        </is>
      </c>
      <c r="C137" t="inlineStr">
        <is>
          <t>LOOCV0</t>
        </is>
      </c>
      <c r="D137" s="56">
        <v>2025</v>
      </c>
      <c r="E137" s="56" t="inlineStr">
        <is>
          <t>P4</t>
        </is>
      </c>
      <c r="F137" t="inlineStr">
        <is>
          <t>216 Crosstern Court</t>
        </is>
      </c>
      <c r="G137" t="inlineStr">
        <is>
          <t>Table</t>
        </is>
      </c>
      <c r="H137" s="62">
        <v>4</v>
      </c>
      <c r="I137">
        <v>4</v>
      </c>
      <c r="J137" s="65">
        <v>680000</v>
      </c>
      <c r="K137" s="65">
        <v>660000</v>
      </c>
      <c r="L137" s="65">
        <v>654200</v>
      </c>
      <c r="M137" s="56" t="inlineStr">
        <is>
          <t>Yes</t>
        </is>
      </c>
      <c r="N137" t="inlineStr">
        <is>
          <t>Original</t>
        </is>
      </c>
      <c r="O137" t="inlineStr">
        <is>
          <t>QUALIFY</t>
        </is>
      </c>
      <c r="R137" t="inlineStr">
        <is>
          <t>Input table contains stray S2 wording in calculation note; QC found no materi...</t>
        </is>
      </c>
      <c r="S137" t="inlineStr">
        <is>
          <t>Full ledger row</t>
        </is>
      </c>
    </row>
    <row r="138" spans="1:19" hidden="1">
      <c r="A138" t="inlineStr">
        <is>
          <t>LOOCV0-P4-S0-T-E005</t>
        </is>
      </c>
      <c r="B138" t="inlineStr">
        <is>
          <t>LOOCV0-P4-S0-T</t>
        </is>
      </c>
      <c r="C138" t="inlineStr">
        <is>
          <t>LOOCV0</t>
        </is>
      </c>
      <c r="D138" s="56">
        <v>2025</v>
      </c>
      <c r="E138" s="56" t="inlineStr">
        <is>
          <t>P4</t>
        </is>
      </c>
      <c r="F138" t="inlineStr">
        <is>
          <t>216 Crosstern Court</t>
        </is>
      </c>
      <c r="G138" t="inlineStr">
        <is>
          <t>Table</t>
        </is>
      </c>
      <c r="H138" s="62">
        <v>5</v>
      </c>
      <c r="I138">
        <v>5</v>
      </c>
      <c r="J138" s="65">
        <v>675000</v>
      </c>
      <c r="K138" s="65">
        <v>665000</v>
      </c>
      <c r="L138" s="65">
        <v>654200</v>
      </c>
      <c r="M138" s="56" t="inlineStr">
        <is>
          <t>Yes</t>
        </is>
      </c>
      <c r="N138" t="inlineStr">
        <is>
          <t>Original</t>
        </is>
      </c>
      <c r="O138" t="inlineStr">
        <is>
          <t>QUALIFY</t>
        </is>
      </c>
      <c r="R138" t="inlineStr">
        <is>
          <t>Input table contains stray S2 wording in calculation note; QC found no materi...</t>
        </is>
      </c>
      <c r="S138" t="inlineStr">
        <is>
          <t>Full ledger row</t>
        </is>
      </c>
    </row>
    <row r="139" spans="1:19" hidden="1">
      <c r="A139" t="inlineStr">
        <is>
          <t>LOOCV0-P4-S0-T-E006</t>
        </is>
      </c>
      <c r="B139" t="inlineStr">
        <is>
          <t>LOOCV0-P4-S0-T</t>
        </is>
      </c>
      <c r="C139" t="inlineStr">
        <is>
          <t>LOOCV0</t>
        </is>
      </c>
      <c r="D139" s="56">
        <v>2025</v>
      </c>
      <c r="E139" s="56" t="inlineStr">
        <is>
          <t>P4</t>
        </is>
      </c>
      <c r="F139" t="inlineStr">
        <is>
          <t>216 Crosstern Court</t>
        </is>
      </c>
      <c r="G139" t="inlineStr">
        <is>
          <t>Table</t>
        </is>
      </c>
      <c r="H139" s="62">
        <v>6</v>
      </c>
      <c r="I139">
        <v>6</v>
      </c>
      <c r="J139" s="65">
        <v>670000</v>
      </c>
      <c r="K139" s="65">
        <v>660000</v>
      </c>
      <c r="L139" s="65">
        <v>654200</v>
      </c>
      <c r="M139" s="56" t="inlineStr">
        <is>
          <t>Yes</t>
        </is>
      </c>
      <c r="N139" t="inlineStr">
        <is>
          <t>Original</t>
        </is>
      </c>
      <c r="O139" t="inlineStr">
        <is>
          <t>QUALIFY</t>
        </is>
      </c>
      <c r="R139" t="inlineStr">
        <is>
          <t>Input table contains stray S2 wording in calculation note; QC found no materi...</t>
        </is>
      </c>
      <c r="S139" t="inlineStr">
        <is>
          <t>Full ledger row</t>
        </is>
      </c>
    </row>
    <row r="140" spans="1:19" hidden="1">
      <c r="A140" t="inlineStr">
        <is>
          <t>LOOCV0-P4-S0-T-E007</t>
        </is>
      </c>
      <c r="B140" t="inlineStr">
        <is>
          <t>LOOCV0-P4-S0-T</t>
        </is>
      </c>
      <c r="C140" t="inlineStr">
        <is>
          <t>LOOCV0</t>
        </is>
      </c>
      <c r="D140" s="56">
        <v>2025</v>
      </c>
      <c r="E140" s="56" t="inlineStr">
        <is>
          <t>P4</t>
        </is>
      </c>
      <c r="F140" t="inlineStr">
        <is>
          <t>216 Crosstern Court</t>
        </is>
      </c>
      <c r="G140" t="inlineStr">
        <is>
          <t>Table</t>
        </is>
      </c>
      <c r="H140" s="62">
        <v>7</v>
      </c>
      <c r="I140">
        <v>7</v>
      </c>
      <c r="J140" s="65">
        <v>665000</v>
      </c>
      <c r="K140" s="65">
        <v>660000</v>
      </c>
      <c r="L140" s="65">
        <v>654200</v>
      </c>
      <c r="M140" s="56" t="inlineStr">
        <is>
          <t>Yes</t>
        </is>
      </c>
      <c r="N140" t="inlineStr">
        <is>
          <t>Original</t>
        </is>
      </c>
      <c r="O140" t="inlineStr">
        <is>
          <t>QUALIFY</t>
        </is>
      </c>
      <c r="R140" t="inlineStr">
        <is>
          <t>Input table contains stray S2 wording in calculation note; QC found no materi...</t>
        </is>
      </c>
      <c r="S140" t="inlineStr">
        <is>
          <t>Full ledger row</t>
        </is>
      </c>
    </row>
    <row r="141" spans="1:19" hidden="1">
      <c r="A141" t="inlineStr">
        <is>
          <t>LOOCV0-P4-S0-T-E008</t>
        </is>
      </c>
      <c r="B141" t="inlineStr">
        <is>
          <t>LOOCV0-P4-S0-T</t>
        </is>
      </c>
      <c r="C141" t="inlineStr">
        <is>
          <t>LOOCV0</t>
        </is>
      </c>
      <c r="D141" s="56">
        <v>2025</v>
      </c>
      <c r="E141" s="56" t="inlineStr">
        <is>
          <t>P4</t>
        </is>
      </c>
      <c r="F141" t="inlineStr">
        <is>
          <t>216 Crosstern Court</t>
        </is>
      </c>
      <c r="G141" t="inlineStr">
        <is>
          <t>Table</t>
        </is>
      </c>
      <c r="H141" s="62">
        <v>8</v>
      </c>
      <c r="I141">
        <v>8</v>
      </c>
      <c r="J141" s="65">
        <v>670000</v>
      </c>
      <c r="K141" s="65">
        <v>660000</v>
      </c>
      <c r="L141" s="65">
        <v>654200</v>
      </c>
      <c r="M141" s="56" t="inlineStr">
        <is>
          <t>Yes</t>
        </is>
      </c>
      <c r="N141" t="inlineStr">
        <is>
          <t>Original</t>
        </is>
      </c>
      <c r="O141" t="inlineStr">
        <is>
          <t>QUALIFY</t>
        </is>
      </c>
      <c r="R141" t="inlineStr">
        <is>
          <t>Input table contains stray S2 wording in calculation note; QC found no materi...</t>
        </is>
      </c>
      <c r="S141" t="inlineStr">
        <is>
          <t>Full ledger row</t>
        </is>
      </c>
    </row>
    <row r="142" spans="1:19" hidden="1">
      <c r="A142" t="inlineStr">
        <is>
          <t>LOOCV0-P4-S0-T-E009</t>
        </is>
      </c>
      <c r="B142" t="inlineStr">
        <is>
          <t>LOOCV0-P4-S0-T</t>
        </is>
      </c>
      <c r="C142" t="inlineStr">
        <is>
          <t>LOOCV0</t>
        </is>
      </c>
      <c r="D142" s="56">
        <v>2025</v>
      </c>
      <c r="E142" s="56" t="inlineStr">
        <is>
          <t>P4</t>
        </is>
      </c>
      <c r="F142" t="inlineStr">
        <is>
          <t>216 Crosstern Court</t>
        </is>
      </c>
      <c r="G142" t="inlineStr">
        <is>
          <t>Table</t>
        </is>
      </c>
      <c r="H142" s="62">
        <v>9</v>
      </c>
      <c r="I142">
        <v>9</v>
      </c>
      <c r="J142" s="65">
        <v>675000</v>
      </c>
      <c r="K142" s="65">
        <v>660000</v>
      </c>
      <c r="L142" s="65">
        <v>654200</v>
      </c>
      <c r="M142" s="56" t="inlineStr">
        <is>
          <t>Yes</t>
        </is>
      </c>
      <c r="N142" t="inlineStr">
        <is>
          <t>Original</t>
        </is>
      </c>
      <c r="O142" t="inlineStr">
        <is>
          <t>QUALIFY</t>
        </is>
      </c>
      <c r="R142" t="inlineStr">
        <is>
          <t>Input table contains stray S2 wording in calculation note; QC found no materi...</t>
        </is>
      </c>
      <c r="S142" t="inlineStr">
        <is>
          <t>Full ledger row</t>
        </is>
      </c>
    </row>
    <row r="143" spans="1:19" hidden="1">
      <c r="A143" t="inlineStr">
        <is>
          <t>LOOCV0-P4-S0-T-E010</t>
        </is>
      </c>
      <c r="B143" t="inlineStr">
        <is>
          <t>LOOCV0-P4-S0-T</t>
        </is>
      </c>
      <c r="C143" t="inlineStr">
        <is>
          <t>LOOCV0</t>
        </is>
      </c>
      <c r="D143" s="56">
        <v>2025</v>
      </c>
      <c r="E143" s="56" t="inlineStr">
        <is>
          <t>P4</t>
        </is>
      </c>
      <c r="F143" t="inlineStr">
        <is>
          <t>216 Crosstern Court</t>
        </is>
      </c>
      <c r="G143" t="inlineStr">
        <is>
          <t>Table</t>
        </is>
      </c>
      <c r="H143" s="62">
        <v>10</v>
      </c>
      <c r="I143">
        <v>10</v>
      </c>
      <c r="J143" s="65">
        <v>700000</v>
      </c>
      <c r="K143" s="65">
        <v>680000</v>
      </c>
      <c r="L143" s="65">
        <v>654200</v>
      </c>
      <c r="M143" s="56" t="inlineStr">
        <is>
          <t>Yes</t>
        </is>
      </c>
      <c r="N143" t="inlineStr">
        <is>
          <t>Original</t>
        </is>
      </c>
      <c r="O143" t="inlineStr">
        <is>
          <t>QUALIFY</t>
        </is>
      </c>
      <c r="R143" t="inlineStr">
        <is>
          <t>Input table contains stray S2 wording in calculation note; QC found no materi...</t>
        </is>
      </c>
      <c r="S143" t="inlineStr">
        <is>
          <t>Full ledger row</t>
        </is>
      </c>
    </row>
    <row r="144" spans="1:19" hidden="1">
      <c r="A144" t="inlineStr">
        <is>
          <t>LOOCV0-P5-S0-T-E001</t>
        </is>
      </c>
      <c r="B144" t="inlineStr">
        <is>
          <t>LOOCV0-P5-S0-T</t>
        </is>
      </c>
      <c r="C144" t="inlineStr">
        <is>
          <t>LOOCV0</t>
        </is>
      </c>
      <c r="D144" s="56">
        <v>2025</v>
      </c>
      <c r="E144" s="56" t="inlineStr">
        <is>
          <t>P5</t>
        </is>
      </c>
      <c r="F144" t="inlineStr">
        <is>
          <t>161 Crossroad Lakes Drive</t>
        </is>
      </c>
      <c r="G144" t="inlineStr">
        <is>
          <t>Table</t>
        </is>
      </c>
      <c r="H144" s="62">
        <v>1</v>
      </c>
      <c r="I144">
        <v>1</v>
      </c>
      <c r="J144" s="65">
        <v>890000</v>
      </c>
      <c r="K144" s="65">
        <v>900000</v>
      </c>
      <c r="L144" s="65">
        <v>910000</v>
      </c>
      <c r="M144" s="56" t="inlineStr">
        <is>
          <t>Yes</t>
        </is>
      </c>
      <c r="N144" t="inlineStr">
        <is>
          <t>Original</t>
        </is>
      </c>
      <c r="O144" t="inlineStr">
        <is>
          <t>QUALIFY</t>
        </is>
      </c>
      <c r="R144" t="inlineStr">
        <is>
          <t>Input table contains stray S2 wording in calculation note; QC found no material propagation into the S0 reconstruction. All supplied LOOCV0 completed-sale evidence retained/used; no P1-style temporal exclusion identified.</t>
        </is>
      </c>
      <c r="S144" t="inlineStr">
        <is>
          <t>Full ledger row</t>
        </is>
      </c>
    </row>
    <row r="145" spans="1:19" hidden="1">
      <c r="A145" t="inlineStr">
        <is>
          <t>LOOCV0-P5-S0-T-E002</t>
        </is>
      </c>
      <c r="B145" t="inlineStr">
        <is>
          <t>LOOCV0-P5-S0-T</t>
        </is>
      </c>
      <c r="C145" t="inlineStr">
        <is>
          <t>LOOCV0</t>
        </is>
      </c>
      <c r="D145" s="56">
        <v>2025</v>
      </c>
      <c r="E145" s="56" t="inlineStr">
        <is>
          <t>P5</t>
        </is>
      </c>
      <c r="F145" t="inlineStr">
        <is>
          <t>161 Crossroad Lakes Drive</t>
        </is>
      </c>
      <c r="G145" t="inlineStr">
        <is>
          <t>Table</t>
        </is>
      </c>
      <c r="H145" s="62">
        <v>2</v>
      </c>
      <c r="I145">
        <v>2</v>
      </c>
      <c r="J145" s="65">
        <v>890000</v>
      </c>
      <c r="K145" s="65">
        <v>895000</v>
      </c>
      <c r="L145" s="65">
        <v>910000</v>
      </c>
      <c r="M145" s="56" t="inlineStr">
        <is>
          <t>Yes</t>
        </is>
      </c>
      <c r="N145" t="inlineStr">
        <is>
          <t>Original</t>
        </is>
      </c>
      <c r="O145" t="inlineStr">
        <is>
          <t>QUALIFY</t>
        </is>
      </c>
      <c r="R145" t="inlineStr">
        <is>
          <t>Input table contains stray S2 wording in calculation note; QC found no material propagation into the S0 reconstruction. All supplied LOOCV0 completed-sale evidence retained/used; no P1-style temporal exclusion identified.</t>
        </is>
      </c>
      <c r="S145" t="inlineStr">
        <is>
          <t>Full ledger row</t>
        </is>
      </c>
    </row>
    <row r="146" spans="1:19" hidden="1">
      <c r="A146" t="inlineStr">
        <is>
          <t>LOOCV0-P5-S0-T-E003</t>
        </is>
      </c>
      <c r="B146" t="inlineStr">
        <is>
          <t>LOOCV0-P5-S0-T</t>
        </is>
      </c>
      <c r="C146" t="inlineStr">
        <is>
          <t>LOOCV0</t>
        </is>
      </c>
      <c r="D146" s="56">
        <v>2025</v>
      </c>
      <c r="E146" s="56" t="inlineStr">
        <is>
          <t>P5</t>
        </is>
      </c>
      <c r="F146" t="inlineStr">
        <is>
          <t>161 Crossroad Lakes Drive</t>
        </is>
      </c>
      <c r="G146" t="inlineStr">
        <is>
          <t>Table</t>
        </is>
      </c>
      <c r="H146" s="62">
        <v>3</v>
      </c>
      <c r="I146">
        <v>3</v>
      </c>
      <c r="J146" s="65">
        <v>885000</v>
      </c>
      <c r="K146" s="65">
        <v>890000</v>
      </c>
      <c r="L146" s="65">
        <v>910000</v>
      </c>
      <c r="M146" s="56" t="inlineStr">
        <is>
          <t>Yes</t>
        </is>
      </c>
      <c r="N146" t="inlineStr">
        <is>
          <t>Original</t>
        </is>
      </c>
      <c r="O146" t="inlineStr">
        <is>
          <t>QUALIFY</t>
        </is>
      </c>
      <c r="R146" t="inlineStr">
        <is>
          <t>Input table contains stray S2 wording in calculation note; QC found no material propagation into the S0 reconstruction. All supplied LOOCV0 completed-sale evidence retained/used; no P1-style temporal exclusion identified.</t>
        </is>
      </c>
      <c r="S146" t="inlineStr">
        <is>
          <t>Full ledger row</t>
        </is>
      </c>
    </row>
    <row r="147" spans="1:19" hidden="1">
      <c r="A147" t="inlineStr">
        <is>
          <t>LOOCV0-P5-S0-T-E004</t>
        </is>
      </c>
      <c r="B147" t="inlineStr">
        <is>
          <t>LOOCV0-P5-S0-T</t>
        </is>
      </c>
      <c r="C147" t="inlineStr">
        <is>
          <t>LOOCV0</t>
        </is>
      </c>
      <c r="D147" s="56">
        <v>2025</v>
      </c>
      <c r="E147" s="56" t="inlineStr">
        <is>
          <t>P5</t>
        </is>
      </c>
      <c r="F147" t="inlineStr">
        <is>
          <t>161 Crossroad Lakes Drive</t>
        </is>
      </c>
      <c r="G147" t="inlineStr">
        <is>
          <t>Table</t>
        </is>
      </c>
      <c r="H147" s="62">
        <v>4</v>
      </c>
      <c r="I147">
        <v>4</v>
      </c>
      <c r="J147" s="65">
        <v>880000</v>
      </c>
      <c r="K147" s="65">
        <v>895000</v>
      </c>
      <c r="L147" s="65">
        <v>910000</v>
      </c>
      <c r="M147" s="56" t="inlineStr">
        <is>
          <t>Yes</t>
        </is>
      </c>
      <c r="N147" t="inlineStr">
        <is>
          <t>Original</t>
        </is>
      </c>
      <c r="O147" t="inlineStr">
        <is>
          <t>QUALIFY</t>
        </is>
      </c>
      <c r="R147" t="inlineStr">
        <is>
          <t>Input table contains stray S2 wording in calculation note; QC found no material propagation into the S0 reconstruction. All supplied LOOCV0 completed-sale evidence retained/used; no P1-style temporal exclusion identified.</t>
        </is>
      </c>
      <c r="S147" t="inlineStr">
        <is>
          <t>Full ledger row</t>
        </is>
      </c>
    </row>
    <row r="148" spans="1:19" hidden="1">
      <c r="A148" t="inlineStr">
        <is>
          <t>LOOCV0-P5-S0-T-E005</t>
        </is>
      </c>
      <c r="B148" t="inlineStr">
        <is>
          <t>LOOCV0-P5-S0-T</t>
        </is>
      </c>
      <c r="C148" t="inlineStr">
        <is>
          <t>LOOCV0</t>
        </is>
      </c>
      <c r="D148" s="56">
        <v>2025</v>
      </c>
      <c r="E148" s="56" t="inlineStr">
        <is>
          <t>P5</t>
        </is>
      </c>
      <c r="F148" t="inlineStr">
        <is>
          <t>161 Crossroad Lakes Drive</t>
        </is>
      </c>
      <c r="G148" t="inlineStr">
        <is>
          <t>Table</t>
        </is>
      </c>
      <c r="H148" s="62">
        <v>5</v>
      </c>
      <c r="I148">
        <v>5</v>
      </c>
      <c r="J148" s="65">
        <v>875000</v>
      </c>
      <c r="K148" s="65">
        <v>885000</v>
      </c>
      <c r="L148" s="65">
        <v>910000</v>
      </c>
      <c r="M148" s="56" t="inlineStr">
        <is>
          <t>Yes</t>
        </is>
      </c>
      <c r="N148" t="inlineStr">
        <is>
          <t>Original</t>
        </is>
      </c>
      <c r="O148" t="inlineStr">
        <is>
          <t>QUALIFY</t>
        </is>
      </c>
      <c r="R148" t="inlineStr">
        <is>
          <t>Input table contains stray S2 wording in calculation note; QC found no material propagation into the S0 reconstruction. All supplied LOOCV0 completed-sale evidence retained/used; no P1-style temporal exclusion identified.</t>
        </is>
      </c>
      <c r="S148" t="inlineStr">
        <is>
          <t>Full ledger row</t>
        </is>
      </c>
    </row>
    <row r="149" spans="1:19" hidden="1">
      <c r="A149" t="inlineStr">
        <is>
          <t>LOOCV0-P5-S0-T-E006</t>
        </is>
      </c>
      <c r="B149" t="inlineStr">
        <is>
          <t>LOOCV0-P5-S0-T</t>
        </is>
      </c>
      <c r="C149" t="inlineStr">
        <is>
          <t>LOOCV0</t>
        </is>
      </c>
      <c r="D149" s="56">
        <v>2025</v>
      </c>
      <c r="E149" s="56" t="inlineStr">
        <is>
          <t>P5</t>
        </is>
      </c>
      <c r="F149" t="inlineStr">
        <is>
          <t>161 Crossroad Lakes Drive</t>
        </is>
      </c>
      <c r="G149" t="inlineStr">
        <is>
          <t>Table</t>
        </is>
      </c>
      <c r="H149" s="62">
        <v>6</v>
      </c>
      <c r="I149">
        <v>6</v>
      </c>
      <c r="J149" s="65">
        <v>885000</v>
      </c>
      <c r="K149" s="65">
        <v>895000</v>
      </c>
      <c r="L149" s="65">
        <v>910000</v>
      </c>
      <c r="M149" s="56" t="inlineStr">
        <is>
          <t>Yes</t>
        </is>
      </c>
      <c r="N149" t="inlineStr">
        <is>
          <t>Original</t>
        </is>
      </c>
      <c r="O149" t="inlineStr">
        <is>
          <t>QUALIFY</t>
        </is>
      </c>
      <c r="R149" t="inlineStr">
        <is>
          <t>Input table contains stray S2 wording in calculation note; QC found no material propagation into the S0 reconstruction. All supplied LOOCV0 completed-sale evidence retained/used; no P1-style temporal exclusion identified.</t>
        </is>
      </c>
      <c r="S149" t="inlineStr">
        <is>
          <t>Full ledger row</t>
        </is>
      </c>
    </row>
    <row r="150" spans="1:19" hidden="1">
      <c r="A150" t="inlineStr">
        <is>
          <t>LOOCV0-P5-S0-T-E007</t>
        </is>
      </c>
      <c r="B150" t="inlineStr">
        <is>
          <t>LOOCV0-P5-S0-T</t>
        </is>
      </c>
      <c r="C150" t="inlineStr">
        <is>
          <t>LOOCV0</t>
        </is>
      </c>
      <c r="D150" s="56">
        <v>2025</v>
      </c>
      <c r="E150" s="56" t="inlineStr">
        <is>
          <t>P5</t>
        </is>
      </c>
      <c r="F150" t="inlineStr">
        <is>
          <t>161 Crossroad Lakes Drive</t>
        </is>
      </c>
      <c r="G150" t="inlineStr">
        <is>
          <t>Table</t>
        </is>
      </c>
      <c r="H150" s="62">
        <v>7</v>
      </c>
      <c r="I150">
        <v>7</v>
      </c>
      <c r="J150" s="65">
        <v>885000</v>
      </c>
      <c r="K150" s="65">
        <v>890000</v>
      </c>
      <c r="L150" s="65">
        <v>910000</v>
      </c>
      <c r="M150" s="56" t="inlineStr">
        <is>
          <t>Yes</t>
        </is>
      </c>
      <c r="N150" t="inlineStr">
        <is>
          <t>Original</t>
        </is>
      </c>
      <c r="O150" t="inlineStr">
        <is>
          <t>QUALIFY</t>
        </is>
      </c>
      <c r="R150" t="inlineStr">
        <is>
          <t>Input table contains stray S2 wording in calculation note; QC found no material propagation into the S0 reconstruction. All supplied LOOCV0 completed-sale evidence retained/used; no P1-style temporal exclusion identified.</t>
        </is>
      </c>
      <c r="S150" t="inlineStr">
        <is>
          <t>Full ledger row</t>
        </is>
      </c>
    </row>
    <row r="151" spans="1:19" hidden="1">
      <c r="A151" t="inlineStr">
        <is>
          <t>LOOCV0-P5-S0-T-E008</t>
        </is>
      </c>
      <c r="B151" t="inlineStr">
        <is>
          <t>LOOCV0-P5-S0-T</t>
        </is>
      </c>
      <c r="C151" t="inlineStr">
        <is>
          <t>LOOCV0</t>
        </is>
      </c>
      <c r="D151" s="56">
        <v>2025</v>
      </c>
      <c r="E151" s="56" t="inlineStr">
        <is>
          <t>P5</t>
        </is>
      </c>
      <c r="F151" t="inlineStr">
        <is>
          <t>161 Crossroad Lakes Drive</t>
        </is>
      </c>
      <c r="G151" t="inlineStr">
        <is>
          <t>Table</t>
        </is>
      </c>
      <c r="H151" s="62">
        <v>8</v>
      </c>
      <c r="I151">
        <v>8</v>
      </c>
      <c r="J151" s="65">
        <v>905000</v>
      </c>
      <c r="K151" s="65">
        <v>900000</v>
      </c>
      <c r="L151" s="65">
        <v>910000</v>
      </c>
      <c r="M151" s="56" t="inlineStr">
        <is>
          <t>Yes</t>
        </is>
      </c>
      <c r="N151" t="inlineStr">
        <is>
          <t>Original</t>
        </is>
      </c>
      <c r="O151" t="inlineStr">
        <is>
          <t>QUALIFY</t>
        </is>
      </c>
      <c r="R151" t="inlineStr">
        <is>
          <t>Input table contains stray S2 wording in calculation note; QC found no material propagation into the S0 reconstruction. All supplied LOOCV0 completed-sale evidence retained/used; no P1-style temporal exclusion identified.</t>
        </is>
      </c>
      <c r="S151" t="inlineStr">
        <is>
          <t>Full ledger row</t>
        </is>
      </c>
    </row>
    <row r="152" spans="1:19" hidden="1">
      <c r="A152" t="inlineStr">
        <is>
          <t>LOOCV0-P5-S0-T-E009</t>
        </is>
      </c>
      <c r="B152" t="inlineStr">
        <is>
          <t>LOOCV0-P5-S0-T</t>
        </is>
      </c>
      <c r="C152" t="inlineStr">
        <is>
          <t>LOOCV0</t>
        </is>
      </c>
      <c r="D152" s="56">
        <v>2025</v>
      </c>
      <c r="E152" s="56" t="inlineStr">
        <is>
          <t>P5</t>
        </is>
      </c>
      <c r="F152" t="inlineStr">
        <is>
          <t>161 Crossroad Lakes Drive</t>
        </is>
      </c>
      <c r="G152" t="inlineStr">
        <is>
          <t>Table</t>
        </is>
      </c>
      <c r="H152" s="62">
        <v>9</v>
      </c>
      <c r="I152">
        <v>9</v>
      </c>
      <c r="J152" s="65">
        <v>885000</v>
      </c>
      <c r="K152" s="65">
        <v>890000</v>
      </c>
      <c r="L152" s="65">
        <v>910000</v>
      </c>
      <c r="M152" s="56" t="inlineStr">
        <is>
          <t>Yes</t>
        </is>
      </c>
      <c r="N152" t="inlineStr">
        <is>
          <t>Original</t>
        </is>
      </c>
      <c r="O152" t="inlineStr">
        <is>
          <t>QUALIFY</t>
        </is>
      </c>
      <c r="R152" t="inlineStr">
        <is>
          <t>Input table contains stray S2 wording in calculation note; QC found no material propagation into the S0 reconstruction. All supplied LOOCV0 completed-sale evidence retained/used; no P1-style temporal exclusion identified.</t>
        </is>
      </c>
      <c r="S152" t="inlineStr">
        <is>
          <t>Full ledger row</t>
        </is>
      </c>
    </row>
    <row r="153" spans="1:19" hidden="1">
      <c r="A153" t="inlineStr">
        <is>
          <t>LOOCV0-P5-S0-T-E010</t>
        </is>
      </c>
      <c r="B153" t="inlineStr">
        <is>
          <t>LOOCV0-P5-S0-T</t>
        </is>
      </c>
      <c r="C153" t="inlineStr">
        <is>
          <t>LOOCV0</t>
        </is>
      </c>
      <c r="D153" s="56">
        <v>2025</v>
      </c>
      <c r="E153" s="56" t="inlineStr">
        <is>
          <t>P5</t>
        </is>
      </c>
      <c r="F153" t="inlineStr">
        <is>
          <t>161 Crossroad Lakes Drive</t>
        </is>
      </c>
      <c r="G153" t="inlineStr">
        <is>
          <t>Table</t>
        </is>
      </c>
      <c r="H153" s="62">
        <v>10</v>
      </c>
      <c r="I153">
        <v>10</v>
      </c>
      <c r="J153" s="65">
        <v>885000</v>
      </c>
      <c r="K153" s="65">
        <v>900000</v>
      </c>
      <c r="L153" s="65">
        <v>910000</v>
      </c>
      <c r="M153" s="56" t="inlineStr">
        <is>
          <t>Yes</t>
        </is>
      </c>
      <c r="N153" t="inlineStr">
        <is>
          <t>Original</t>
        </is>
      </c>
      <c r="O153" t="inlineStr">
        <is>
          <t>QUALIFY</t>
        </is>
      </c>
      <c r="R153" t="inlineStr">
        <is>
          <t>Input table contains stray S2 wording in calculation note; QC found no material propagation into the S0 reconstruction. All supplied LOOCV0 completed-sale evidence retained/used; no P1-style temporal exclusion identified.</t>
        </is>
      </c>
      <c r="S153" t="inlineStr">
        <is>
          <t>Full ledger row</t>
        </is>
      </c>
    </row>
    <row r="154" spans="1:19" hidden="1">
      <c r="A154" t="inlineStr">
        <is>
          <t>LOOCV0-P6-S0-T-E001</t>
        </is>
      </c>
      <c r="B154" t="inlineStr">
        <is>
          <t>LOOCV0-P6-S0-T</t>
        </is>
      </c>
      <c r="C154" t="inlineStr">
        <is>
          <t>LOOCV0</t>
        </is>
      </c>
      <c r="D154" s="56">
        <v>2025</v>
      </c>
      <c r="E154" s="56" t="inlineStr">
        <is>
          <t>P6</t>
        </is>
      </c>
      <c r="F154" t="inlineStr">
        <is>
          <t>144 Crosstide Circle</t>
        </is>
      </c>
      <c r="G154" t="inlineStr">
        <is>
          <t>Table</t>
        </is>
      </c>
      <c r="H154" s="62">
        <v>1</v>
      </c>
      <c r="I154">
        <v>1</v>
      </c>
      <c r="J154" s="65">
        <v>615000</v>
      </c>
      <c r="K154" s="65">
        <v>600000</v>
      </c>
      <c r="L154" s="65">
        <v>580000</v>
      </c>
      <c r="M154" s="56" t="inlineStr">
        <is>
          <t>Yes</t>
        </is>
      </c>
      <c r="N154" t="inlineStr">
        <is>
          <t>Original</t>
        </is>
      </c>
      <c r="O154" t="inlineStr">
        <is>
          <t>QUALIFY</t>
        </is>
      </c>
      <c r="R154" t="inlineStr">
        <is>
          <t>Input table contains stray S2 wording in calculation note; QC found no material propagation into the S0 reconstruction. All supplied LOOCV0 completed-sale evidence retained/used; no P1-style temporal exclusion identified.</t>
        </is>
      </c>
      <c r="S154" t="inlineStr">
        <is>
          <t>Full ledger row</t>
        </is>
      </c>
    </row>
    <row r="155" spans="1:19" hidden="1">
      <c r="A155" t="inlineStr">
        <is>
          <t>LOOCV0-P6-S0-T-E002</t>
        </is>
      </c>
      <c r="B155" t="inlineStr">
        <is>
          <t>LOOCV0-P6-S0-T</t>
        </is>
      </c>
      <c r="C155" t="inlineStr">
        <is>
          <t>LOOCV0</t>
        </is>
      </c>
      <c r="D155" s="56">
        <v>2025</v>
      </c>
      <c r="E155" s="56" t="inlineStr">
        <is>
          <t>P6</t>
        </is>
      </c>
      <c r="F155" t="inlineStr">
        <is>
          <t>144 Crosstide Circle</t>
        </is>
      </c>
      <c r="G155" t="inlineStr">
        <is>
          <t>Table</t>
        </is>
      </c>
      <c r="H155" s="62">
        <v>2</v>
      </c>
      <c r="I155">
        <v>2</v>
      </c>
      <c r="J155" s="65">
        <v>610000</v>
      </c>
      <c r="K155" s="65">
        <v>600000</v>
      </c>
      <c r="L155" s="65">
        <v>580000</v>
      </c>
      <c r="M155" s="56" t="inlineStr">
        <is>
          <t>Yes</t>
        </is>
      </c>
      <c r="N155" t="inlineStr">
        <is>
          <t>Original</t>
        </is>
      </c>
      <c r="O155" t="inlineStr">
        <is>
          <t>QUALIFY</t>
        </is>
      </c>
      <c r="R155" t="inlineStr">
        <is>
          <t>Input table contains stray S2 wording in calculation note; QC found no material propagation into the S0 reconstruction. All supplied LOOCV0 completed-sale evidence retained/used; no P1-style temporal exclusion identified.</t>
        </is>
      </c>
      <c r="S155" t="inlineStr">
        <is>
          <t>Full ledger row</t>
        </is>
      </c>
    </row>
    <row r="156" spans="1:19" hidden="1">
      <c r="A156" t="inlineStr">
        <is>
          <t>LOOCV0-P6-S0-T-E003</t>
        </is>
      </c>
      <c r="B156" t="inlineStr">
        <is>
          <t>LOOCV0-P6-S0-T</t>
        </is>
      </c>
      <c r="C156" t="inlineStr">
        <is>
          <t>LOOCV0</t>
        </is>
      </c>
      <c r="D156" s="56">
        <v>2025</v>
      </c>
      <c r="E156" s="56" t="inlineStr">
        <is>
          <t>P6</t>
        </is>
      </c>
      <c r="F156" t="inlineStr">
        <is>
          <t>144 Crosstide Circle</t>
        </is>
      </c>
      <c r="G156" t="inlineStr">
        <is>
          <t>Table</t>
        </is>
      </c>
      <c r="H156" s="62">
        <v>3</v>
      </c>
      <c r="I156">
        <v>3</v>
      </c>
      <c r="J156" s="65">
        <v>610000</v>
      </c>
      <c r="K156" s="65">
        <v>600000</v>
      </c>
      <c r="L156" s="65">
        <v>580000</v>
      </c>
      <c r="M156" s="56" t="inlineStr">
        <is>
          <t>Yes</t>
        </is>
      </c>
      <c r="N156" t="inlineStr">
        <is>
          <t>Original</t>
        </is>
      </c>
      <c r="O156" t="inlineStr">
        <is>
          <t>QUALIFY</t>
        </is>
      </c>
      <c r="R156" t="inlineStr">
        <is>
          <t>Input table contains stray S2 wording in calculation note; QC found no material propagation into the S0 reconstruction. All supplied LOOCV0 completed-sale evidence retained/used; no P1-style temporal exclusion identified.</t>
        </is>
      </c>
      <c r="S156" t="inlineStr">
        <is>
          <t>Full ledger row</t>
        </is>
      </c>
    </row>
    <row r="157" spans="1:19" hidden="1">
      <c r="A157" t="inlineStr">
        <is>
          <t>LOOCV0-P6-S0-T-E004</t>
        </is>
      </c>
      <c r="B157" t="inlineStr">
        <is>
          <t>LOOCV0-P6-S0-T</t>
        </is>
      </c>
      <c r="C157" t="inlineStr">
        <is>
          <t>LOOCV0</t>
        </is>
      </c>
      <c r="D157" s="56">
        <v>2025</v>
      </c>
      <c r="E157" s="56" t="inlineStr">
        <is>
          <t>P6</t>
        </is>
      </c>
      <c r="F157" t="inlineStr">
        <is>
          <t>144 Crosstide Circle</t>
        </is>
      </c>
      <c r="G157" t="inlineStr">
        <is>
          <t>Table</t>
        </is>
      </c>
      <c r="H157" s="62">
        <v>4</v>
      </c>
      <c r="I157">
        <v>4</v>
      </c>
      <c r="J157" s="65">
        <v>615000</v>
      </c>
      <c r="K157" s="65">
        <v>600000</v>
      </c>
      <c r="L157" s="65">
        <v>580000</v>
      </c>
      <c r="M157" s="56" t="inlineStr">
        <is>
          <t>Yes</t>
        </is>
      </c>
      <c r="N157" t="inlineStr">
        <is>
          <t>Original</t>
        </is>
      </c>
      <c r="O157" t="inlineStr">
        <is>
          <t>QUALIFY</t>
        </is>
      </c>
      <c r="R157" t="inlineStr">
        <is>
          <t>Input table contains stray S2 wording in calculation note; QC found no material propagation into the S0 reconstruction. All supplied LOOCV0 completed-sale evidence retained/used; no P1-style temporal exclusion identified.</t>
        </is>
      </c>
      <c r="S157" t="inlineStr">
        <is>
          <t>Full ledger row</t>
        </is>
      </c>
    </row>
    <row r="158" spans="1:19" hidden="1">
      <c r="A158" t="inlineStr">
        <is>
          <t>LOOCV0-P6-S0-T-E005</t>
        </is>
      </c>
      <c r="B158" t="inlineStr">
        <is>
          <t>LOOCV0-P6-S0-T</t>
        </is>
      </c>
      <c r="C158" t="inlineStr">
        <is>
          <t>LOOCV0</t>
        </is>
      </c>
      <c r="D158" s="56">
        <v>2025</v>
      </c>
      <c r="E158" s="56" t="inlineStr">
        <is>
          <t>P6</t>
        </is>
      </c>
      <c r="F158" t="inlineStr">
        <is>
          <t>144 Crosstide Circle</t>
        </is>
      </c>
      <c r="G158" t="inlineStr">
        <is>
          <t>Table</t>
        </is>
      </c>
      <c r="H158" s="62">
        <v>5</v>
      </c>
      <c r="I158">
        <v>5</v>
      </c>
      <c r="J158" s="65">
        <v>615000</v>
      </c>
      <c r="K158" s="65">
        <v>605000</v>
      </c>
      <c r="L158" s="65">
        <v>580000</v>
      </c>
      <c r="M158" s="56" t="inlineStr">
        <is>
          <t>Yes</t>
        </is>
      </c>
      <c r="N158" t="inlineStr">
        <is>
          <t>Original</t>
        </is>
      </c>
      <c r="O158" t="inlineStr">
        <is>
          <t>QUALIFY</t>
        </is>
      </c>
      <c r="R158" t="inlineStr">
        <is>
          <t>Input table contains stray S2 wording in calculation note; QC found no material propagation into the S0 reconstruction. All supplied LOOCV0 completed-sale evidence retained/used; no P1-style temporal exclusion identified.</t>
        </is>
      </c>
      <c r="S158" t="inlineStr">
        <is>
          <t>Full ledger row</t>
        </is>
      </c>
    </row>
    <row r="159" spans="1:19" hidden="1">
      <c r="A159" t="inlineStr">
        <is>
          <t>LOOCV0-P6-S0-T-E006</t>
        </is>
      </c>
      <c r="B159" t="inlineStr">
        <is>
          <t>LOOCV0-P6-S0-T</t>
        </is>
      </c>
      <c r="C159" t="inlineStr">
        <is>
          <t>LOOCV0</t>
        </is>
      </c>
      <c r="D159" s="56">
        <v>2025</v>
      </c>
      <c r="E159" s="56" t="inlineStr">
        <is>
          <t>P6</t>
        </is>
      </c>
      <c r="F159" t="inlineStr">
        <is>
          <t>144 Crosstide Circle</t>
        </is>
      </c>
      <c r="G159" t="inlineStr">
        <is>
          <t>Table</t>
        </is>
      </c>
      <c r="H159" s="62">
        <v>6</v>
      </c>
      <c r="I159">
        <v>6</v>
      </c>
      <c r="J159" s="65">
        <v>610000</v>
      </c>
      <c r="K159" s="65">
        <v>600000</v>
      </c>
      <c r="L159" s="65">
        <v>580000</v>
      </c>
      <c r="M159" s="56" t="inlineStr">
        <is>
          <t>Yes</t>
        </is>
      </c>
      <c r="N159" t="inlineStr">
        <is>
          <t>Original</t>
        </is>
      </c>
      <c r="O159" t="inlineStr">
        <is>
          <t>QUALIFY</t>
        </is>
      </c>
      <c r="R159" t="inlineStr">
        <is>
          <t>Input table contains stray S2 wording in calculation note; QC found no material propagation into the S0 reconstruction. All supplied LOOCV0 completed-sale evidence retained/used; no P1-style temporal exclusion identified.</t>
        </is>
      </c>
      <c r="S159" t="inlineStr">
        <is>
          <t>Full ledger row</t>
        </is>
      </c>
    </row>
    <row r="160" spans="1:19" hidden="1">
      <c r="A160" t="inlineStr">
        <is>
          <t>LOOCV0-P6-S0-T-E007</t>
        </is>
      </c>
      <c r="B160" t="inlineStr">
        <is>
          <t>LOOCV0-P6-S0-T</t>
        </is>
      </c>
      <c r="C160" t="inlineStr">
        <is>
          <t>LOOCV0</t>
        </is>
      </c>
      <c r="D160" s="56">
        <v>2025</v>
      </c>
      <c r="E160" s="56" t="inlineStr">
        <is>
          <t>P6</t>
        </is>
      </c>
      <c r="F160" t="inlineStr">
        <is>
          <t>144 Crosstide Circle</t>
        </is>
      </c>
      <c r="G160" t="inlineStr">
        <is>
          <t>Table</t>
        </is>
      </c>
      <c r="H160" s="62">
        <v>7</v>
      </c>
      <c r="I160">
        <v>7</v>
      </c>
      <c r="J160" s="65">
        <v>635000</v>
      </c>
      <c r="K160" s="65">
        <v>610000</v>
      </c>
      <c r="L160" s="65">
        <v>580000</v>
      </c>
      <c r="M160" s="56" t="inlineStr">
        <is>
          <t>Yes</t>
        </is>
      </c>
      <c r="N160" t="inlineStr">
        <is>
          <t>Original</t>
        </is>
      </c>
      <c r="O160" t="inlineStr">
        <is>
          <t>QUALIFY</t>
        </is>
      </c>
      <c r="R160" t="inlineStr">
        <is>
          <t>Input table contains stray S2 wording in calculation note; QC found no material propagation into the S0 reconstruction. All supplied LOOCV0 completed-sale evidence retained/used; no P1-style temporal exclusion identified.</t>
        </is>
      </c>
      <c r="S160" t="inlineStr">
        <is>
          <t>Full ledger row</t>
        </is>
      </c>
    </row>
    <row r="161" spans="1:19" hidden="1">
      <c r="A161" t="inlineStr">
        <is>
          <t>LOOCV0-P6-S0-T-E008</t>
        </is>
      </c>
      <c r="B161" t="inlineStr">
        <is>
          <t>LOOCV0-P6-S0-T</t>
        </is>
      </c>
      <c r="C161" t="inlineStr">
        <is>
          <t>LOOCV0</t>
        </is>
      </c>
      <c r="D161" s="56">
        <v>2025</v>
      </c>
      <c r="E161" s="56" t="inlineStr">
        <is>
          <t>P6</t>
        </is>
      </c>
      <c r="F161" t="inlineStr">
        <is>
          <t>144 Crosstide Circle</t>
        </is>
      </c>
      <c r="G161" t="inlineStr">
        <is>
          <t>Table</t>
        </is>
      </c>
      <c r="H161" s="62">
        <v>8</v>
      </c>
      <c r="I161">
        <v>8</v>
      </c>
      <c r="J161" s="65">
        <v>615000</v>
      </c>
      <c r="K161" s="65">
        <v>600000</v>
      </c>
      <c r="L161" s="65">
        <v>580000</v>
      </c>
      <c r="M161" s="56" t="inlineStr">
        <is>
          <t>Yes</t>
        </is>
      </c>
      <c r="N161" t="inlineStr">
        <is>
          <t>Original</t>
        </is>
      </c>
      <c r="O161" t="inlineStr">
        <is>
          <t>QUALIFY</t>
        </is>
      </c>
      <c r="R161" t="inlineStr">
        <is>
          <t>Input table contains stray S2 wording in calculation note; QC found no material propagation into the S0 reconstruction. All supplied LOOCV0 completed-sale evidence retained/used; no P1-style temporal exclusion identified.</t>
        </is>
      </c>
      <c r="S161" t="inlineStr">
        <is>
          <t>Full ledger row</t>
        </is>
      </c>
    </row>
    <row r="162" spans="1:19" hidden="1">
      <c r="A162" t="inlineStr">
        <is>
          <t>LOOCV0-P6-S0-T-E009</t>
        </is>
      </c>
      <c r="B162" t="inlineStr">
        <is>
          <t>LOOCV0-P6-S0-T</t>
        </is>
      </c>
      <c r="C162" t="inlineStr">
        <is>
          <t>LOOCV0</t>
        </is>
      </c>
      <c r="D162" s="56">
        <v>2025</v>
      </c>
      <c r="E162" s="56" t="inlineStr">
        <is>
          <t>P6</t>
        </is>
      </c>
      <c r="F162" t="inlineStr">
        <is>
          <t>144 Crosstide Circle</t>
        </is>
      </c>
      <c r="G162" t="inlineStr">
        <is>
          <t>Table</t>
        </is>
      </c>
      <c r="H162" s="62">
        <v>9</v>
      </c>
      <c r="I162">
        <v>9</v>
      </c>
      <c r="J162" s="65">
        <v>610000</v>
      </c>
      <c r="K162" s="65">
        <v>600000</v>
      </c>
      <c r="L162" s="65">
        <v>580000</v>
      </c>
      <c r="M162" s="56" t="inlineStr">
        <is>
          <t>Yes</t>
        </is>
      </c>
      <c r="N162" t="inlineStr">
        <is>
          <t>Original</t>
        </is>
      </c>
      <c r="O162" t="inlineStr">
        <is>
          <t>QUALIFY</t>
        </is>
      </c>
      <c r="R162" t="inlineStr">
        <is>
          <t>Input table contains stray S2 wording in calculation note; QC found no material propagation into the S0 reconstruction. All supplied LOOCV0 completed-sale evidence retained/used; no P1-style temporal exclusion identified.</t>
        </is>
      </c>
      <c r="S162" t="inlineStr">
        <is>
          <t>Full ledger row</t>
        </is>
      </c>
    </row>
    <row r="163" spans="1:19" hidden="1">
      <c r="A163" t="inlineStr">
        <is>
          <t>LOOCV0-P6-S0-T-E010</t>
        </is>
      </c>
      <c r="B163" t="inlineStr">
        <is>
          <t>LOOCV0-P6-S0-T</t>
        </is>
      </c>
      <c r="C163" t="inlineStr">
        <is>
          <t>LOOCV0</t>
        </is>
      </c>
      <c r="D163" s="56">
        <v>2025</v>
      </c>
      <c r="E163" s="56" t="inlineStr">
        <is>
          <t>P6</t>
        </is>
      </c>
      <c r="F163" t="inlineStr">
        <is>
          <t>144 Crosstide Circle</t>
        </is>
      </c>
      <c r="G163" t="inlineStr">
        <is>
          <t>Table</t>
        </is>
      </c>
      <c r="H163" s="62">
        <v>10</v>
      </c>
      <c r="I163">
        <v>10</v>
      </c>
      <c r="J163" s="65">
        <v>620000</v>
      </c>
      <c r="K163" s="65">
        <v>600000</v>
      </c>
      <c r="L163" s="65">
        <v>580000</v>
      </c>
      <c r="M163" s="56" t="inlineStr">
        <is>
          <t>Yes</t>
        </is>
      </c>
      <c r="N163" t="inlineStr">
        <is>
          <t>Original</t>
        </is>
      </c>
      <c r="O163" t="inlineStr">
        <is>
          <t>QUALIFY</t>
        </is>
      </c>
      <c r="R163" t="inlineStr">
        <is>
          <t>Input table contains stray S2 wording in calculation note; QC found no material propagation into the S0 reconstruction. All supplied LOOCV0 completed-sale evidence retained/used; no P1-style temporal exclusion identified.</t>
        </is>
      </c>
      <c r="S163" t="inlineStr">
        <is>
          <t>Full ledger row</t>
        </is>
      </c>
    </row>
    <row r="164" spans="1:19" hidden="1">
      <c r="A164" t="inlineStr">
        <is>
          <t>LOOCV0-P7-S0-T-E001</t>
        </is>
      </c>
      <c r="B164" t="inlineStr">
        <is>
          <t>LOOCV0-P7-S0-T</t>
        </is>
      </c>
      <c r="C164" t="inlineStr">
        <is>
          <t>LOOCV0</t>
        </is>
      </c>
      <c r="D164" s="56">
        <v>2025</v>
      </c>
      <c r="E164" s="56" t="inlineStr">
        <is>
          <t>P7</t>
        </is>
      </c>
      <c r="F164" t="inlineStr">
        <is>
          <t>145 Crossroad Lakes Drive</t>
        </is>
      </c>
      <c r="G164" t="inlineStr">
        <is>
          <t>Table</t>
        </is>
      </c>
      <c r="H164" s="62">
        <v>1</v>
      </c>
      <c r="I164">
        <v>1</v>
      </c>
      <c r="J164" s="65">
        <v>795000</v>
      </c>
      <c r="K164" s="65">
        <v>790000</v>
      </c>
      <c r="L164" s="65">
        <v>815000</v>
      </c>
      <c r="M164" s="56" t="inlineStr">
        <is>
          <t>Yes</t>
        </is>
      </c>
      <c r="N164" t="inlineStr">
        <is>
          <t>Original</t>
        </is>
      </c>
      <c r="O164" t="inlineStr">
        <is>
          <t>QUALIFY</t>
        </is>
      </c>
      <c r="R164" t="inlineStr">
        <is>
          <t>Input table contains stray S2 wording in calculation note; QC found no material propagation into the S0 reconstruction. No P1-style temporal evidence-surface exclusion identified.</t>
        </is>
      </c>
      <c r="S164" t="inlineStr">
        <is>
          <t>Full ledger row</t>
        </is>
      </c>
    </row>
    <row r="165" spans="1:19" hidden="1">
      <c r="A165" t="inlineStr">
        <is>
          <t>LOOCV0-P7-S0-T-E002</t>
        </is>
      </c>
      <c r="B165" t="inlineStr">
        <is>
          <t>LOOCV0-P7-S0-T</t>
        </is>
      </c>
      <c r="C165" t="inlineStr">
        <is>
          <t>LOOCV0</t>
        </is>
      </c>
      <c r="D165" s="56">
        <v>2025</v>
      </c>
      <c r="E165" s="56" t="inlineStr">
        <is>
          <t>P7</t>
        </is>
      </c>
      <c r="F165" t="inlineStr">
        <is>
          <t>145 Crossroad Lakes Drive</t>
        </is>
      </c>
      <c r="G165" t="inlineStr">
        <is>
          <t>Table</t>
        </is>
      </c>
      <c r="H165" s="62">
        <v>2</v>
      </c>
      <c r="I165">
        <v>2</v>
      </c>
      <c r="J165" s="65">
        <v>790000</v>
      </c>
      <c r="K165" s="65">
        <v>785000</v>
      </c>
      <c r="L165" s="65">
        <v>815000</v>
      </c>
      <c r="M165" s="56" t="inlineStr">
        <is>
          <t>Yes</t>
        </is>
      </c>
      <c r="N165" t="inlineStr">
        <is>
          <t>Original</t>
        </is>
      </c>
      <c r="O165" t="inlineStr">
        <is>
          <t>QUALIFY</t>
        </is>
      </c>
      <c r="R165" t="inlineStr">
        <is>
          <t>Input table contains stray S2 wording in calculation note; QC found no material propagation into the S0 reconstruction. No P1-style temporal evidence-surface exclusion identified.</t>
        </is>
      </c>
      <c r="S165" t="inlineStr">
        <is>
          <t>Full ledger row</t>
        </is>
      </c>
    </row>
    <row r="166" spans="1:19" hidden="1">
      <c r="A166" t="inlineStr">
        <is>
          <t>LOOCV0-P7-S0-T-E003</t>
        </is>
      </c>
      <c r="B166" t="inlineStr">
        <is>
          <t>LOOCV0-P7-S0-T</t>
        </is>
      </c>
      <c r="C166" t="inlineStr">
        <is>
          <t>LOOCV0</t>
        </is>
      </c>
      <c r="D166" s="56">
        <v>2025</v>
      </c>
      <c r="E166" s="56" t="inlineStr">
        <is>
          <t>P7</t>
        </is>
      </c>
      <c r="F166" t="inlineStr">
        <is>
          <t>145 Crossroad Lakes Drive</t>
        </is>
      </c>
      <c r="G166" t="inlineStr">
        <is>
          <t>Table</t>
        </is>
      </c>
      <c r="H166" s="62">
        <v>3</v>
      </c>
      <c r="I166">
        <v>3</v>
      </c>
      <c r="J166" s="65">
        <v>805000</v>
      </c>
      <c r="K166" s="65">
        <v>795000</v>
      </c>
      <c r="L166" s="65">
        <v>815000</v>
      </c>
      <c r="M166" s="56" t="inlineStr">
        <is>
          <t>Yes</t>
        </is>
      </c>
      <c r="N166" t="inlineStr">
        <is>
          <t>Original</t>
        </is>
      </c>
      <c r="O166" t="inlineStr">
        <is>
          <t>QUALIFY</t>
        </is>
      </c>
      <c r="R166" t="inlineStr">
        <is>
          <t>Input table contains stray S2 wording in calculation note; QC found no material propagation into the S0 reconstruction. No P1-style temporal evidence-surface exclusion identified.</t>
        </is>
      </c>
      <c r="S166" t="inlineStr">
        <is>
          <t>Full ledger row</t>
        </is>
      </c>
    </row>
    <row r="167" spans="1:19" hidden="1">
      <c r="A167" t="inlineStr">
        <is>
          <t>LOOCV0-P7-S0-T-E004</t>
        </is>
      </c>
      <c r="B167" t="inlineStr">
        <is>
          <t>LOOCV0-P7-S0-T</t>
        </is>
      </c>
      <c r="C167" t="inlineStr">
        <is>
          <t>LOOCV0</t>
        </is>
      </c>
      <c r="D167" s="56">
        <v>2025</v>
      </c>
      <c r="E167" s="56" t="inlineStr">
        <is>
          <t>P7</t>
        </is>
      </c>
      <c r="F167" t="inlineStr">
        <is>
          <t>145 Crossroad Lakes Drive</t>
        </is>
      </c>
      <c r="G167" t="inlineStr">
        <is>
          <t>Table</t>
        </is>
      </c>
      <c r="H167" s="62">
        <v>4</v>
      </c>
      <c r="I167">
        <v>4</v>
      </c>
      <c r="J167" s="65">
        <v>805000</v>
      </c>
      <c r="K167" s="65">
        <v>785000</v>
      </c>
      <c r="L167" s="65">
        <v>815000</v>
      </c>
      <c r="M167" s="56" t="inlineStr">
        <is>
          <t>Yes</t>
        </is>
      </c>
      <c r="N167" t="inlineStr">
        <is>
          <t>Original</t>
        </is>
      </c>
      <c r="O167" t="inlineStr">
        <is>
          <t>QUALIFY</t>
        </is>
      </c>
      <c r="R167" t="inlineStr">
        <is>
          <t>Input table contains stray S2 wording in calculation note; QC found no material propagation into the S0 reconstruction. No P1-style temporal evidence-surface exclusion identified.</t>
        </is>
      </c>
      <c r="S167" t="inlineStr">
        <is>
          <t>Full ledger row</t>
        </is>
      </c>
    </row>
    <row r="168" spans="1:19" hidden="1">
      <c r="A168" t="inlineStr">
        <is>
          <t>LOOCV0-P7-S0-T-E005</t>
        </is>
      </c>
      <c r="B168" t="inlineStr">
        <is>
          <t>LOOCV0-P7-S0-T</t>
        </is>
      </c>
      <c r="C168" t="inlineStr">
        <is>
          <t>LOOCV0</t>
        </is>
      </c>
      <c r="D168" s="56">
        <v>2025</v>
      </c>
      <c r="E168" s="56" t="inlineStr">
        <is>
          <t>P7</t>
        </is>
      </c>
      <c r="F168" t="inlineStr">
        <is>
          <t>145 Crossroad Lakes Drive</t>
        </is>
      </c>
      <c r="G168" t="inlineStr">
        <is>
          <t>Table</t>
        </is>
      </c>
      <c r="H168" s="62">
        <v>5</v>
      </c>
      <c r="I168">
        <v>5</v>
      </c>
      <c r="J168" s="65">
        <v>810000</v>
      </c>
      <c r="K168" s="65">
        <v>800000</v>
      </c>
      <c r="L168" s="65">
        <v>815000</v>
      </c>
      <c r="M168" s="56" t="inlineStr">
        <is>
          <t>Yes</t>
        </is>
      </c>
      <c r="N168" t="inlineStr">
        <is>
          <t>Original</t>
        </is>
      </c>
      <c r="O168" t="inlineStr">
        <is>
          <t>QUALIFY</t>
        </is>
      </c>
      <c r="R168" t="inlineStr">
        <is>
          <t>Input table contains stray S2 wording in calculation note; QC found no material propagation into the S0 reconstruction. No P1-style temporal evidence-surface exclusion identified.</t>
        </is>
      </c>
      <c r="S168" t="inlineStr">
        <is>
          <t>Full ledger row</t>
        </is>
      </c>
    </row>
    <row r="169" spans="1:19" hidden="1">
      <c r="A169" t="inlineStr">
        <is>
          <t>LOOCV0-P7-S0-T-E006</t>
        </is>
      </c>
      <c r="B169" t="inlineStr">
        <is>
          <t>LOOCV0-P7-S0-T</t>
        </is>
      </c>
      <c r="C169" t="inlineStr">
        <is>
          <t>LOOCV0</t>
        </is>
      </c>
      <c r="D169" s="56">
        <v>2025</v>
      </c>
      <c r="E169" s="56" t="inlineStr">
        <is>
          <t>P7</t>
        </is>
      </c>
      <c r="F169" t="inlineStr">
        <is>
          <t>145 Crossroad Lakes Drive</t>
        </is>
      </c>
      <c r="G169" t="inlineStr">
        <is>
          <t>Table</t>
        </is>
      </c>
      <c r="H169" s="62">
        <v>6</v>
      </c>
      <c r="I169">
        <v>6</v>
      </c>
      <c r="J169" s="65">
        <v>810000</v>
      </c>
      <c r="K169" s="65">
        <v>800000</v>
      </c>
      <c r="L169" s="65">
        <v>815000</v>
      </c>
      <c r="M169" s="56" t="inlineStr">
        <is>
          <t>Yes</t>
        </is>
      </c>
      <c r="N169" t="inlineStr">
        <is>
          <t>Original</t>
        </is>
      </c>
      <c r="O169" t="inlineStr">
        <is>
          <t>QUALIFY</t>
        </is>
      </c>
      <c r="R169" t="inlineStr">
        <is>
          <t>Input table contains stray S2 wording in calculation note; QC found no material propagation into the S0 reconstruction. No P1-style temporal evidence-surface exclusion identified.</t>
        </is>
      </c>
      <c r="S169" t="inlineStr">
        <is>
          <t>Full ledger row</t>
        </is>
      </c>
    </row>
    <row r="170" spans="1:19" hidden="1">
      <c r="A170" t="inlineStr">
        <is>
          <t>LOOCV0-P7-S0-T-E007</t>
        </is>
      </c>
      <c r="B170" t="inlineStr">
        <is>
          <t>LOOCV0-P7-S0-T</t>
        </is>
      </c>
      <c r="C170" t="inlineStr">
        <is>
          <t>LOOCV0</t>
        </is>
      </c>
      <c r="D170" s="56">
        <v>2025</v>
      </c>
      <c r="E170" s="56" t="inlineStr">
        <is>
          <t>P7</t>
        </is>
      </c>
      <c r="F170" t="inlineStr">
        <is>
          <t>145 Crossroad Lakes Drive</t>
        </is>
      </c>
      <c r="G170" t="inlineStr">
        <is>
          <t>Table</t>
        </is>
      </c>
      <c r="H170" s="62">
        <v>7</v>
      </c>
      <c r="I170">
        <v>7</v>
      </c>
      <c r="J170" s="65">
        <v>790000</v>
      </c>
      <c r="K170" s="65">
        <v>785000</v>
      </c>
      <c r="L170" s="65">
        <v>815000</v>
      </c>
      <c r="M170" s="56" t="inlineStr">
        <is>
          <t>Yes</t>
        </is>
      </c>
      <c r="N170" t="inlineStr">
        <is>
          <t>Original</t>
        </is>
      </c>
      <c r="O170" t="inlineStr">
        <is>
          <t>QUALIFY</t>
        </is>
      </c>
      <c r="R170" t="inlineStr">
        <is>
          <t>Input table contains stray S2 wording in calculation note; QC found no material propagation into the S0 reconstruction. No P1-style temporal evidence-surface exclusion identified.</t>
        </is>
      </c>
      <c r="S170" t="inlineStr">
        <is>
          <t>Full ledger row</t>
        </is>
      </c>
    </row>
    <row r="171" spans="1:19" hidden="1">
      <c r="A171" t="inlineStr">
        <is>
          <t>LOOCV0-P7-S0-T-E008</t>
        </is>
      </c>
      <c r="B171" t="inlineStr">
        <is>
          <t>LOOCV0-P7-S0-T</t>
        </is>
      </c>
      <c r="C171" t="inlineStr">
        <is>
          <t>LOOCV0</t>
        </is>
      </c>
      <c r="D171" s="56">
        <v>2025</v>
      </c>
      <c r="E171" s="56" t="inlineStr">
        <is>
          <t>P7</t>
        </is>
      </c>
      <c r="F171" t="inlineStr">
        <is>
          <t>145 Crossroad Lakes Drive</t>
        </is>
      </c>
      <c r="G171" t="inlineStr">
        <is>
          <t>Table</t>
        </is>
      </c>
      <c r="H171" s="62">
        <v>8</v>
      </c>
      <c r="I171">
        <v>8</v>
      </c>
      <c r="J171" s="65">
        <v>805000</v>
      </c>
      <c r="K171" s="65">
        <v>790000</v>
      </c>
      <c r="L171" s="65">
        <v>815000</v>
      </c>
      <c r="M171" s="56" t="inlineStr">
        <is>
          <t>Yes</t>
        </is>
      </c>
      <c r="N171" t="inlineStr">
        <is>
          <t>Original</t>
        </is>
      </c>
      <c r="O171" t="inlineStr">
        <is>
          <t>QUALIFY</t>
        </is>
      </c>
      <c r="R171" t="inlineStr">
        <is>
          <t>Input table contains stray S2 wording in calculation note; QC found no material propagation into the S0 reconstruction. No P1-style temporal evidence-surface exclusion identified.</t>
        </is>
      </c>
      <c r="S171" t="inlineStr">
        <is>
          <t>Full ledger row</t>
        </is>
      </c>
    </row>
    <row r="172" spans="1:19" hidden="1">
      <c r="A172" t="inlineStr">
        <is>
          <t>LOOCV0-P7-S0-T-E009</t>
        </is>
      </c>
      <c r="B172" t="inlineStr">
        <is>
          <t>LOOCV0-P7-S0-T</t>
        </is>
      </c>
      <c r="C172" t="inlineStr">
        <is>
          <t>LOOCV0</t>
        </is>
      </c>
      <c r="D172" s="56">
        <v>2025</v>
      </c>
      <c r="E172" s="56" t="inlineStr">
        <is>
          <t>P7</t>
        </is>
      </c>
      <c r="F172" t="inlineStr">
        <is>
          <t>145 Crossroad Lakes Drive</t>
        </is>
      </c>
      <c r="G172" t="inlineStr">
        <is>
          <t>Table</t>
        </is>
      </c>
      <c r="H172" s="62">
        <v>9</v>
      </c>
      <c r="I172">
        <v>9</v>
      </c>
      <c r="J172" s="65">
        <v>795000</v>
      </c>
      <c r="K172" s="65">
        <v>795000</v>
      </c>
      <c r="L172" s="65">
        <v>815000</v>
      </c>
      <c r="M172" s="56" t="inlineStr">
        <is>
          <t>Yes</t>
        </is>
      </c>
      <c r="N172" t="inlineStr">
        <is>
          <t>Original</t>
        </is>
      </c>
      <c r="O172" t="inlineStr">
        <is>
          <t>QUALIFY</t>
        </is>
      </c>
      <c r="R172" t="inlineStr">
        <is>
          <t>Input table contains stray S2 wording in calculation note; QC found no material propagation into the S0 reconstruction. No P1-style temporal evidence-surface exclusion identified.</t>
        </is>
      </c>
      <c r="S172" t="inlineStr">
        <is>
          <t>Full ledger row</t>
        </is>
      </c>
    </row>
    <row r="173" spans="1:19" hidden="1">
      <c r="A173" t="inlineStr">
        <is>
          <t>LOOCV0-P7-S0-T-E010</t>
        </is>
      </c>
      <c r="B173" t="inlineStr">
        <is>
          <t>LOOCV0-P7-S0-T</t>
        </is>
      </c>
      <c r="C173" t="inlineStr">
        <is>
          <t>LOOCV0</t>
        </is>
      </c>
      <c r="D173" s="56">
        <v>2025</v>
      </c>
      <c r="E173" s="56" t="inlineStr">
        <is>
          <t>P7</t>
        </is>
      </c>
      <c r="F173" t="inlineStr">
        <is>
          <t>145 Crossroad Lakes Drive</t>
        </is>
      </c>
      <c r="G173" t="inlineStr">
        <is>
          <t>Table</t>
        </is>
      </c>
      <c r="H173" s="62">
        <v>10</v>
      </c>
      <c r="I173">
        <v>10</v>
      </c>
      <c r="J173" s="65">
        <v>825000</v>
      </c>
      <c r="K173" s="65">
        <v>805000</v>
      </c>
      <c r="L173" s="65">
        <v>815000</v>
      </c>
      <c r="M173" s="56" t="inlineStr">
        <is>
          <t>Yes</t>
        </is>
      </c>
      <c r="N173" t="inlineStr">
        <is>
          <t>Original</t>
        </is>
      </c>
      <c r="O173" t="inlineStr">
        <is>
          <t>QUALIFY</t>
        </is>
      </c>
      <c r="R173" t="inlineStr">
        <is>
          <t>Input table contains stray S2 wording in calculation note; QC found no material propagation into the S0 reconstruction. No P1-style temporal evidence-surface exclusion identified.</t>
        </is>
      </c>
      <c r="S173" t="inlineStr">
        <is>
          <t>Full ledger row</t>
        </is>
      </c>
    </row>
    <row r="174" spans="1:19" hidden="1">
      <c r="A174" t="inlineStr">
        <is>
          <t>LOOCV0-P8-S0-T-E001</t>
        </is>
      </c>
      <c r="B174" t="inlineStr">
        <is>
          <t>LOOCV0-P8-S0-T</t>
        </is>
      </c>
      <c r="C174" t="inlineStr">
        <is>
          <t>LOOCV0</t>
        </is>
      </c>
      <c r="D174" s="56">
        <v>2025</v>
      </c>
      <c r="E174" s="56" t="inlineStr">
        <is>
          <t>P8</t>
        </is>
      </c>
      <c r="F174" t="inlineStr">
        <is>
          <t>140 Crosscove Circle</t>
        </is>
      </c>
      <c r="G174" t="inlineStr">
        <is>
          <t>Table</t>
        </is>
      </c>
      <c r="H174" s="62">
        <v>1</v>
      </c>
      <c r="I174">
        <v>1</v>
      </c>
      <c r="J174" s="65">
        <v>885000</v>
      </c>
      <c r="K174" s="65">
        <v>860000</v>
      </c>
      <c r="L174" s="65">
        <v>845000</v>
      </c>
      <c r="M174" s="56" t="inlineStr">
        <is>
          <t>Yes</t>
        </is>
      </c>
      <c r="N174" t="inlineStr">
        <is>
          <t>Original</t>
        </is>
      </c>
      <c r="O174" t="inlineStr">
        <is>
          <t>QUALIFY</t>
        </is>
      </c>
      <c r="R174" t="inlineStr">
        <is>
          <t>Input table contains stray S2 wording in calculation note; QC found no material propagation into the S0 reconstruction. No P1-style temporal evidence-surface exclusion identified.</t>
        </is>
      </c>
      <c r="S174" t="inlineStr">
        <is>
          <t>Full ledger row</t>
        </is>
      </c>
    </row>
    <row r="175" spans="1:19" hidden="1">
      <c r="A175" t="inlineStr">
        <is>
          <t>LOOCV0-P8-S0-T-E002</t>
        </is>
      </c>
      <c r="B175" t="inlineStr">
        <is>
          <t>LOOCV0-P8-S0-T</t>
        </is>
      </c>
      <c r="C175" t="inlineStr">
        <is>
          <t>LOOCV0</t>
        </is>
      </c>
      <c r="D175" s="56">
        <v>2025</v>
      </c>
      <c r="E175" s="56" t="inlineStr">
        <is>
          <t>P8</t>
        </is>
      </c>
      <c r="F175" t="inlineStr">
        <is>
          <t>140 Crosscove Circle</t>
        </is>
      </c>
      <c r="G175" t="inlineStr">
        <is>
          <t>Table</t>
        </is>
      </c>
      <c r="H175" s="62">
        <v>2</v>
      </c>
      <c r="I175">
        <v>2</v>
      </c>
      <c r="J175" s="65">
        <v>880000</v>
      </c>
      <c r="K175" s="65">
        <v>850000</v>
      </c>
      <c r="L175" s="65">
        <v>845000</v>
      </c>
      <c r="M175" s="56" t="inlineStr">
        <is>
          <t>Yes</t>
        </is>
      </c>
      <c r="N175" t="inlineStr">
        <is>
          <t>Original</t>
        </is>
      </c>
      <c r="O175" t="inlineStr">
        <is>
          <t>QUALIFY</t>
        </is>
      </c>
      <c r="R175" t="inlineStr">
        <is>
          <t>Input table contains stray S2 wording in calculation note; QC found no material propagation into the S0 reconstruction. No P1-style temporal evidence-surface exclusion identified.</t>
        </is>
      </c>
      <c r="S175" t="inlineStr">
        <is>
          <t>Full ledger row</t>
        </is>
      </c>
    </row>
    <row r="176" spans="1:19" hidden="1">
      <c r="A176" t="inlineStr">
        <is>
          <t>LOOCV0-P8-S0-T-E003</t>
        </is>
      </c>
      <c r="B176" t="inlineStr">
        <is>
          <t>LOOCV0-P8-S0-T</t>
        </is>
      </c>
      <c r="C176" t="inlineStr">
        <is>
          <t>LOOCV0</t>
        </is>
      </c>
      <c r="D176" s="56">
        <v>2025</v>
      </c>
      <c r="E176" s="56" t="inlineStr">
        <is>
          <t>P8</t>
        </is>
      </c>
      <c r="F176" t="inlineStr">
        <is>
          <t>140 Crosscove Circle</t>
        </is>
      </c>
      <c r="G176" t="inlineStr">
        <is>
          <t>Table</t>
        </is>
      </c>
      <c r="H176" s="62">
        <v>3</v>
      </c>
      <c r="I176">
        <v>3</v>
      </c>
      <c r="J176" s="65">
        <v>835000</v>
      </c>
      <c r="K176" s="65">
        <v>830000</v>
      </c>
      <c r="L176" s="65">
        <v>845000</v>
      </c>
      <c r="M176" s="56" t="inlineStr">
        <is>
          <t>Yes</t>
        </is>
      </c>
      <c r="N176" t="inlineStr">
        <is>
          <t>Original</t>
        </is>
      </c>
      <c r="O176" t="inlineStr">
        <is>
          <t>QUALIFY</t>
        </is>
      </c>
      <c r="R176" t="inlineStr">
        <is>
          <t>Input table contains stray S2 wording in calculation note; QC found no material propagation into the S0 reconstruction. No P1-style temporal evidence-surface exclusion identified.</t>
        </is>
      </c>
      <c r="S176" t="inlineStr">
        <is>
          <t>Full ledger row</t>
        </is>
      </c>
    </row>
    <row r="177" spans="1:19" hidden="1">
      <c r="A177" t="inlineStr">
        <is>
          <t>LOOCV0-P8-S0-T-E004</t>
        </is>
      </c>
      <c r="B177" t="inlineStr">
        <is>
          <t>LOOCV0-P8-S0-T</t>
        </is>
      </c>
      <c r="C177" t="inlineStr">
        <is>
          <t>LOOCV0</t>
        </is>
      </c>
      <c r="D177" s="56">
        <v>2025</v>
      </c>
      <c r="E177" s="56" t="inlineStr">
        <is>
          <t>P8</t>
        </is>
      </c>
      <c r="F177" t="inlineStr">
        <is>
          <t>140 Crosscove Circle</t>
        </is>
      </c>
      <c r="G177" t="inlineStr">
        <is>
          <t>Table</t>
        </is>
      </c>
      <c r="H177" s="62">
        <v>4</v>
      </c>
      <c r="I177">
        <v>4</v>
      </c>
      <c r="J177" s="65">
        <v>865000</v>
      </c>
      <c r="K177" s="65">
        <v>850000</v>
      </c>
      <c r="L177" s="65">
        <v>845000</v>
      </c>
      <c r="M177" s="56" t="inlineStr">
        <is>
          <t>Yes</t>
        </is>
      </c>
      <c r="N177" t="inlineStr">
        <is>
          <t>Original</t>
        </is>
      </c>
      <c r="O177" t="inlineStr">
        <is>
          <t>QUALIFY</t>
        </is>
      </c>
      <c r="R177" t="inlineStr">
        <is>
          <t>Input table contains stray S2 wording in calculation note; QC found no material propagation into the S0 reconstruction. No P1-style temporal evidence-surface exclusion identified.</t>
        </is>
      </c>
      <c r="S177" t="inlineStr">
        <is>
          <t>Full ledger row</t>
        </is>
      </c>
    </row>
    <row r="178" spans="1:19" hidden="1">
      <c r="A178" t="inlineStr">
        <is>
          <t>LOOCV0-P8-S0-T-E005</t>
        </is>
      </c>
      <c r="B178" t="inlineStr">
        <is>
          <t>LOOCV0-P8-S0-T</t>
        </is>
      </c>
      <c r="C178" t="inlineStr">
        <is>
          <t>LOOCV0</t>
        </is>
      </c>
      <c r="D178" s="56">
        <v>2025</v>
      </c>
      <c r="E178" s="56" t="inlineStr">
        <is>
          <t>P8</t>
        </is>
      </c>
      <c r="F178" t="inlineStr">
        <is>
          <t>140 Crosscove Circle</t>
        </is>
      </c>
      <c r="G178" t="inlineStr">
        <is>
          <t>Table</t>
        </is>
      </c>
      <c r="H178" s="62">
        <v>5</v>
      </c>
      <c r="I178">
        <v>5</v>
      </c>
      <c r="J178" s="65">
        <v>875000</v>
      </c>
      <c r="K178" s="65">
        <v>835000</v>
      </c>
      <c r="L178" s="65">
        <v>845000</v>
      </c>
      <c r="M178" s="56" t="inlineStr">
        <is>
          <t>Yes</t>
        </is>
      </c>
      <c r="N178" t="inlineStr">
        <is>
          <t>Original</t>
        </is>
      </c>
      <c r="O178" t="inlineStr">
        <is>
          <t>QUALIFY</t>
        </is>
      </c>
      <c r="R178" t="inlineStr">
        <is>
          <t>Input table contains stray S2 wording in calculation note; QC found no material propagation into the S0 reconstruction. No P1-style temporal evidence-surface exclusion identified.</t>
        </is>
      </c>
      <c r="S178" t="inlineStr">
        <is>
          <t>Full ledger row</t>
        </is>
      </c>
    </row>
    <row r="179" spans="1:19" hidden="1">
      <c r="A179" t="inlineStr">
        <is>
          <t>LOOCV0-P8-S0-T-E006</t>
        </is>
      </c>
      <c r="B179" t="inlineStr">
        <is>
          <t>LOOCV0-P8-S0-T</t>
        </is>
      </c>
      <c r="C179" t="inlineStr">
        <is>
          <t>LOOCV0</t>
        </is>
      </c>
      <c r="D179" s="56">
        <v>2025</v>
      </c>
      <c r="E179" s="56" t="inlineStr">
        <is>
          <t>P8</t>
        </is>
      </c>
      <c r="F179" t="inlineStr">
        <is>
          <t>140 Crosscove Circle</t>
        </is>
      </c>
      <c r="G179" t="inlineStr">
        <is>
          <t>Table</t>
        </is>
      </c>
      <c r="H179" s="62">
        <v>6</v>
      </c>
      <c r="I179">
        <v>6</v>
      </c>
      <c r="J179" s="65">
        <v>850000</v>
      </c>
      <c r="K179" s="65">
        <v>840000</v>
      </c>
      <c r="L179" s="65">
        <v>845000</v>
      </c>
      <c r="M179" s="56" t="inlineStr">
        <is>
          <t>Yes</t>
        </is>
      </c>
      <c r="N179" t="inlineStr">
        <is>
          <t>Original</t>
        </is>
      </c>
      <c r="O179" t="inlineStr">
        <is>
          <t>QUALIFY</t>
        </is>
      </c>
      <c r="R179" t="inlineStr">
        <is>
          <t>Input table contains stray S2 wording in calculation note; QC found no material propagation into the S0 reconstruction. No P1-style temporal evidence-surface exclusion identified.</t>
        </is>
      </c>
      <c r="S179" t="inlineStr">
        <is>
          <t>Full ledger row</t>
        </is>
      </c>
    </row>
    <row r="180" spans="1:19" hidden="1">
      <c r="A180" t="inlineStr">
        <is>
          <t>LOOCV0-P8-S0-T-E007</t>
        </is>
      </c>
      <c r="B180" t="inlineStr">
        <is>
          <t>LOOCV0-P8-S0-T</t>
        </is>
      </c>
      <c r="C180" t="inlineStr">
        <is>
          <t>LOOCV0</t>
        </is>
      </c>
      <c r="D180" s="56">
        <v>2025</v>
      </c>
      <c r="E180" s="56" t="inlineStr">
        <is>
          <t>P8</t>
        </is>
      </c>
      <c r="F180" t="inlineStr">
        <is>
          <t>140 Crosscove Circle</t>
        </is>
      </c>
      <c r="G180" t="inlineStr">
        <is>
          <t>Table</t>
        </is>
      </c>
      <c r="H180" s="62">
        <v>7</v>
      </c>
      <c r="I180">
        <v>7</v>
      </c>
      <c r="J180" s="65">
        <v>850000</v>
      </c>
      <c r="K180" s="65">
        <v>850000</v>
      </c>
      <c r="L180" s="65">
        <v>845000</v>
      </c>
      <c r="M180" s="56" t="inlineStr">
        <is>
          <t>Yes</t>
        </is>
      </c>
      <c r="N180" t="inlineStr">
        <is>
          <t>Original</t>
        </is>
      </c>
      <c r="O180" t="inlineStr">
        <is>
          <t>QUALIFY</t>
        </is>
      </c>
      <c r="R180" t="inlineStr">
        <is>
          <t>Input table contains stray S2 wording in calculation note; QC found no material propagation into the S0 reconstruction. No P1-style temporal evidence-surface exclusion identified.</t>
        </is>
      </c>
      <c r="S180" t="inlineStr">
        <is>
          <t>Full ledger row</t>
        </is>
      </c>
    </row>
    <row r="181" spans="1:19" hidden="1">
      <c r="A181" t="inlineStr">
        <is>
          <t>LOOCV0-P8-S0-T-E008</t>
        </is>
      </c>
      <c r="B181" t="inlineStr">
        <is>
          <t>LOOCV0-P8-S0-T</t>
        </is>
      </c>
      <c r="C181" t="inlineStr">
        <is>
          <t>LOOCV0</t>
        </is>
      </c>
      <c r="D181" s="56">
        <v>2025</v>
      </c>
      <c r="E181" s="56" t="inlineStr">
        <is>
          <t>P8</t>
        </is>
      </c>
      <c r="F181" t="inlineStr">
        <is>
          <t>140 Crosscove Circle</t>
        </is>
      </c>
      <c r="G181" t="inlineStr">
        <is>
          <t>Table</t>
        </is>
      </c>
      <c r="H181" s="62">
        <v>8</v>
      </c>
      <c r="I181">
        <v>8</v>
      </c>
      <c r="J181" s="65">
        <v>900000</v>
      </c>
      <c r="K181" s="65">
        <v>850000</v>
      </c>
      <c r="L181" s="65">
        <v>845000</v>
      </c>
      <c r="M181" s="56" t="inlineStr">
        <is>
          <t>Yes</t>
        </is>
      </c>
      <c r="N181" t="inlineStr">
        <is>
          <t>Original</t>
        </is>
      </c>
      <c r="O181" t="inlineStr">
        <is>
          <t>QUALIFY</t>
        </is>
      </c>
      <c r="R181" t="inlineStr">
        <is>
          <t>Input table contains stray S2 wording in calculation note; QC found no material propagation into the S0 reconstruction. No P1-style temporal evidence-surface exclusion identified.</t>
        </is>
      </c>
      <c r="S181" t="inlineStr">
        <is>
          <t>Full ledger row</t>
        </is>
      </c>
    </row>
    <row r="182" spans="1:19" hidden="1">
      <c r="A182" t="inlineStr">
        <is>
          <t>LOOCV0-P8-S0-T-E009</t>
        </is>
      </c>
      <c r="B182" t="inlineStr">
        <is>
          <t>LOOCV0-P8-S0-T</t>
        </is>
      </c>
      <c r="C182" t="inlineStr">
        <is>
          <t>LOOCV0</t>
        </is>
      </c>
      <c r="D182" s="56">
        <v>2025</v>
      </c>
      <c r="E182" s="56" t="inlineStr">
        <is>
          <t>P8</t>
        </is>
      </c>
      <c r="F182" t="inlineStr">
        <is>
          <t>140 Crosscove Circle</t>
        </is>
      </c>
      <c r="G182" t="inlineStr">
        <is>
          <t>Table</t>
        </is>
      </c>
      <c r="H182" s="62">
        <v>9</v>
      </c>
      <c r="I182">
        <v>9</v>
      </c>
      <c r="J182" s="65">
        <v>915000</v>
      </c>
      <c r="K182" s="65">
        <v>865000</v>
      </c>
      <c r="L182" s="65">
        <v>845000</v>
      </c>
      <c r="M182" s="56" t="inlineStr">
        <is>
          <t>Yes</t>
        </is>
      </c>
      <c r="N182" t="inlineStr">
        <is>
          <t>Original</t>
        </is>
      </c>
      <c r="O182" t="inlineStr">
        <is>
          <t>QUALIFY</t>
        </is>
      </c>
      <c r="R182" t="inlineStr">
        <is>
          <t>Input table contains stray S2 wording in calculation note; QC found no material propagation into the S0 reconstruction. No P1-style temporal evidence-surface exclusion identified.</t>
        </is>
      </c>
      <c r="S182" t="inlineStr">
        <is>
          <t>Full ledger row</t>
        </is>
      </c>
    </row>
    <row r="183" spans="1:19" hidden="1">
      <c r="A183" t="inlineStr">
        <is>
          <t>LOOCV0-P8-S0-T-E010</t>
        </is>
      </c>
      <c r="B183" t="inlineStr">
        <is>
          <t>LOOCV0-P8-S0-T</t>
        </is>
      </c>
      <c r="C183" t="inlineStr">
        <is>
          <t>LOOCV0</t>
        </is>
      </c>
      <c r="D183" s="56">
        <v>2025</v>
      </c>
      <c r="E183" s="56" t="inlineStr">
        <is>
          <t>P8</t>
        </is>
      </c>
      <c r="F183" t="inlineStr">
        <is>
          <t>140 Crosscove Circle</t>
        </is>
      </c>
      <c r="G183" t="inlineStr">
        <is>
          <t>Table</t>
        </is>
      </c>
      <c r="H183" s="62">
        <v>10</v>
      </c>
      <c r="I183">
        <v>10</v>
      </c>
      <c r="J183" s="65">
        <v>890000</v>
      </c>
      <c r="K183" s="65">
        <v>860000</v>
      </c>
      <c r="L183" s="65">
        <v>845000</v>
      </c>
      <c r="M183" s="56" t="inlineStr">
        <is>
          <t>Yes</t>
        </is>
      </c>
      <c r="N183" t="inlineStr">
        <is>
          <t>Original</t>
        </is>
      </c>
      <c r="O183" t="inlineStr">
        <is>
          <t>QUALIFY</t>
        </is>
      </c>
      <c r="R183" t="inlineStr">
        <is>
          <t>Input table contains stray S2 wording in calculation note; QC found no material propagation into the S0 reconstruction. No P1-style temporal evidence-surface exclusion identified.</t>
        </is>
      </c>
      <c r="S183" t="inlineStr">
        <is>
          <t>Full ledger row</t>
        </is>
      </c>
    </row>
    <row r="184" spans="1:19" hidden="1">
      <c r="A184" t="inlineStr">
        <is>
          <t>LOOCV0-P9-S0-T-E001</t>
        </is>
      </c>
      <c r="B184" t="inlineStr">
        <is>
          <t>LOOCV0-P9-S0-T</t>
        </is>
      </c>
      <c r="C184" t="inlineStr">
        <is>
          <t>LOOCV0</t>
        </is>
      </c>
      <c r="D184" s="56">
        <v>2025</v>
      </c>
      <c r="E184" s="56" t="inlineStr">
        <is>
          <t>P9</t>
        </is>
      </c>
      <c r="F184" t="inlineStr">
        <is>
          <t>104 Seaside Circle</t>
        </is>
      </c>
      <c r="G184" t="inlineStr">
        <is>
          <t>Table</t>
        </is>
      </c>
      <c r="H184" s="62">
        <v>1</v>
      </c>
      <c r="I184">
        <v>1</v>
      </c>
      <c r="J184" s="65">
        <v>700000</v>
      </c>
      <c r="K184" s="65">
        <v>645000</v>
      </c>
      <c r="L184" s="65">
        <v>610000</v>
      </c>
      <c r="M184" s="56" t="inlineStr">
        <is>
          <t>Yes</t>
        </is>
      </c>
      <c r="N184" t="inlineStr">
        <is>
          <t>Original</t>
        </is>
      </c>
      <c r="O184" t="inlineStr">
        <is>
          <t>QUALIFY</t>
        </is>
      </c>
      <c r="R184" t="inlineStr">
        <is>
          <t>Input table contains stray S2 wording in calculation note; QC found no material propagation into the S0 reconstruction. No P1-style temporal evidence-surface exclusion identified.</t>
        </is>
      </c>
      <c r="S184" t="inlineStr">
        <is>
          <t>Full ledger row</t>
        </is>
      </c>
    </row>
    <row r="185" spans="1:19" hidden="1">
      <c r="A185" t="inlineStr">
        <is>
          <t>LOOCV0-P9-S0-T-E002</t>
        </is>
      </c>
      <c r="B185" t="inlineStr">
        <is>
          <t>LOOCV0-P9-S0-T</t>
        </is>
      </c>
      <c r="C185" t="inlineStr">
        <is>
          <t>LOOCV0</t>
        </is>
      </c>
      <c r="D185" s="56">
        <v>2025</v>
      </c>
      <c r="E185" s="56" t="inlineStr">
        <is>
          <t>P9</t>
        </is>
      </c>
      <c r="F185" t="inlineStr">
        <is>
          <t>104 Seaside Circle</t>
        </is>
      </c>
      <c r="G185" t="inlineStr">
        <is>
          <t>Table</t>
        </is>
      </c>
      <c r="H185" s="62">
        <v>2</v>
      </c>
      <c r="I185">
        <v>2</v>
      </c>
      <c r="J185" s="65">
        <v>715000</v>
      </c>
      <c r="K185" s="65">
        <v>640000</v>
      </c>
      <c r="L185" s="65">
        <v>610000</v>
      </c>
      <c r="M185" s="56" t="inlineStr">
        <is>
          <t>Yes</t>
        </is>
      </c>
      <c r="N185" t="inlineStr">
        <is>
          <t>Original</t>
        </is>
      </c>
      <c r="O185" t="inlineStr">
        <is>
          <t>QUALIFY</t>
        </is>
      </c>
      <c r="R185" t="inlineStr">
        <is>
          <t>Input table contains stray S2 wording in calculation note; QC found no material propagation into the S0 reconstruction. No P1-style temporal evidence-surface exclusion identified.</t>
        </is>
      </c>
      <c r="S185" t="inlineStr">
        <is>
          <t>Full ledger row</t>
        </is>
      </c>
    </row>
    <row r="186" spans="1:19" hidden="1">
      <c r="A186" t="inlineStr">
        <is>
          <t>LOOCV0-P9-S0-T-E003</t>
        </is>
      </c>
      <c r="B186" t="inlineStr">
        <is>
          <t>LOOCV0-P9-S0-T</t>
        </is>
      </c>
      <c r="C186" t="inlineStr">
        <is>
          <t>LOOCV0</t>
        </is>
      </c>
      <c r="D186" s="56">
        <v>2025</v>
      </c>
      <c r="E186" s="56" t="inlineStr">
        <is>
          <t>P9</t>
        </is>
      </c>
      <c r="F186" t="inlineStr">
        <is>
          <t>104 Seaside Circle</t>
        </is>
      </c>
      <c r="G186" t="inlineStr">
        <is>
          <t>Table</t>
        </is>
      </c>
      <c r="H186" s="62">
        <v>3</v>
      </c>
      <c r="I186">
        <v>3</v>
      </c>
      <c r="J186" s="65">
        <v>690000</v>
      </c>
      <c r="K186" s="65">
        <v>645000</v>
      </c>
      <c r="L186" s="65">
        <v>610000</v>
      </c>
      <c r="M186" s="56" t="inlineStr">
        <is>
          <t>Yes</t>
        </is>
      </c>
      <c r="N186" t="inlineStr">
        <is>
          <t>Original</t>
        </is>
      </c>
      <c r="O186" t="inlineStr">
        <is>
          <t>QUALIFY</t>
        </is>
      </c>
      <c r="R186" t="inlineStr">
        <is>
          <t>Input table contains stray S2 wording in calculation note; QC found no material propagation into the S0 reconstruction. No P1-style temporal evidence-surface exclusion identified.</t>
        </is>
      </c>
      <c r="S186" t="inlineStr">
        <is>
          <t>Full ledger row</t>
        </is>
      </c>
    </row>
    <row r="187" spans="1:19" hidden="1">
      <c r="A187" t="inlineStr">
        <is>
          <t>LOOCV0-P9-S0-T-E004</t>
        </is>
      </c>
      <c r="B187" t="inlineStr">
        <is>
          <t>LOOCV0-P9-S0-T</t>
        </is>
      </c>
      <c r="C187" t="inlineStr">
        <is>
          <t>LOOCV0</t>
        </is>
      </c>
      <c r="D187" s="56">
        <v>2025</v>
      </c>
      <c r="E187" s="56" t="inlineStr">
        <is>
          <t>P9</t>
        </is>
      </c>
      <c r="F187" t="inlineStr">
        <is>
          <t>104 Seaside Circle</t>
        </is>
      </c>
      <c r="G187" t="inlineStr">
        <is>
          <t>Table</t>
        </is>
      </c>
      <c r="H187" s="62">
        <v>4</v>
      </c>
      <c r="I187">
        <v>4</v>
      </c>
      <c r="J187" s="65">
        <v>700000</v>
      </c>
      <c r="K187" s="65">
        <v>645000</v>
      </c>
      <c r="L187" s="65">
        <v>610000</v>
      </c>
      <c r="M187" s="56" t="inlineStr">
        <is>
          <t>Yes</t>
        </is>
      </c>
      <c r="N187" t="inlineStr">
        <is>
          <t>Original</t>
        </is>
      </c>
      <c r="O187" t="inlineStr">
        <is>
          <t>QUALIFY</t>
        </is>
      </c>
      <c r="R187" t="inlineStr">
        <is>
          <t>Input table contains stray S2 wording in calculation note; QC found no material propagation into the S0 reconstruction. No P1-style temporal evidence-surface exclusion identified.</t>
        </is>
      </c>
      <c r="S187" t="inlineStr">
        <is>
          <t>Full ledger row</t>
        </is>
      </c>
    </row>
    <row r="188" spans="1:19" hidden="1">
      <c r="A188" t="inlineStr">
        <is>
          <t>LOOCV0-P9-S0-T-E005</t>
        </is>
      </c>
      <c r="B188" t="inlineStr">
        <is>
          <t>LOOCV0-P9-S0-T</t>
        </is>
      </c>
      <c r="C188" t="inlineStr">
        <is>
          <t>LOOCV0</t>
        </is>
      </c>
      <c r="D188" s="56">
        <v>2025</v>
      </c>
      <c r="E188" s="56" t="inlineStr">
        <is>
          <t>P9</t>
        </is>
      </c>
      <c r="F188" t="inlineStr">
        <is>
          <t>104 Seaside Circle</t>
        </is>
      </c>
      <c r="G188" t="inlineStr">
        <is>
          <t>Table</t>
        </is>
      </c>
      <c r="H188" s="62">
        <v>5</v>
      </c>
      <c r="I188">
        <v>5</v>
      </c>
      <c r="J188" s="65">
        <v>685000</v>
      </c>
      <c r="K188" s="65">
        <v>645000</v>
      </c>
      <c r="L188" s="65">
        <v>610000</v>
      </c>
      <c r="M188" s="56" t="inlineStr">
        <is>
          <t>Yes</t>
        </is>
      </c>
      <c r="N188" t="inlineStr">
        <is>
          <t>Original</t>
        </is>
      </c>
      <c r="O188" t="inlineStr">
        <is>
          <t>QUALIFY</t>
        </is>
      </c>
      <c r="R188" t="inlineStr">
        <is>
          <t>Input table contains stray S2 wording in calculation note; QC found no material propagation into the S0 reconstruction. No P1-style temporal evidence-surface exclusion identified.</t>
        </is>
      </c>
      <c r="S188" t="inlineStr">
        <is>
          <t>Full ledger row</t>
        </is>
      </c>
    </row>
    <row r="189" spans="1:19" hidden="1">
      <c r="A189" t="inlineStr">
        <is>
          <t>LOOCV0-P9-S0-T-E006</t>
        </is>
      </c>
      <c r="B189" t="inlineStr">
        <is>
          <t>LOOCV0-P9-S0-T</t>
        </is>
      </c>
      <c r="C189" t="inlineStr">
        <is>
          <t>LOOCV0</t>
        </is>
      </c>
      <c r="D189" s="56">
        <v>2025</v>
      </c>
      <c r="E189" s="56" t="inlineStr">
        <is>
          <t>P9</t>
        </is>
      </c>
      <c r="F189" t="inlineStr">
        <is>
          <t>104 Seaside Circle</t>
        </is>
      </c>
      <c r="G189" t="inlineStr">
        <is>
          <t>Table</t>
        </is>
      </c>
      <c r="H189" s="62">
        <v>6</v>
      </c>
      <c r="I189">
        <v>6</v>
      </c>
      <c r="J189" s="65">
        <v>680000</v>
      </c>
      <c r="K189" s="65">
        <v>642000</v>
      </c>
      <c r="L189" s="65">
        <v>610000</v>
      </c>
      <c r="M189" s="56" t="inlineStr">
        <is>
          <t>Yes</t>
        </is>
      </c>
      <c r="N189" t="inlineStr">
        <is>
          <t>Original</t>
        </is>
      </c>
      <c r="O189" t="inlineStr">
        <is>
          <t>QUALIFY</t>
        </is>
      </c>
      <c r="R189" t="inlineStr">
        <is>
          <t>Input table contains stray S2 wording in calculation note; QC found no material propagation into the S0 reconstruction. No P1-style temporal evidence-surface exclusion identified.</t>
        </is>
      </c>
      <c r="S189" t="inlineStr">
        <is>
          <t>Full ledger row</t>
        </is>
      </c>
    </row>
    <row r="190" spans="1:19" hidden="1">
      <c r="A190" t="inlineStr">
        <is>
          <t>LOOCV0-P9-S0-T-E007</t>
        </is>
      </c>
      <c r="B190" t="inlineStr">
        <is>
          <t>LOOCV0-P9-S0-T</t>
        </is>
      </c>
      <c r="C190" t="inlineStr">
        <is>
          <t>LOOCV0</t>
        </is>
      </c>
      <c r="D190" s="56">
        <v>2025</v>
      </c>
      <c r="E190" s="56" t="inlineStr">
        <is>
          <t>P9</t>
        </is>
      </c>
      <c r="F190" t="inlineStr">
        <is>
          <t>104 Seaside Circle</t>
        </is>
      </c>
      <c r="G190" t="inlineStr">
        <is>
          <t>Table</t>
        </is>
      </c>
      <c r="H190" s="62">
        <v>7</v>
      </c>
      <c r="I190">
        <v>7</v>
      </c>
      <c r="J190" s="65">
        <v>710000</v>
      </c>
      <c r="K190" s="65">
        <v>645000</v>
      </c>
      <c r="L190" s="65">
        <v>610000</v>
      </c>
      <c r="M190" s="56" t="inlineStr">
        <is>
          <t>Yes</t>
        </is>
      </c>
      <c r="N190" t="inlineStr">
        <is>
          <t>Original</t>
        </is>
      </c>
      <c r="O190" t="inlineStr">
        <is>
          <t>QUALIFY</t>
        </is>
      </c>
      <c r="R190" t="inlineStr">
        <is>
          <t>Input table contains stray S2 wording in calculation note; QC found no material propagation into the S0 reconstruction. No P1-style temporal evidence-surface exclusion identified.</t>
        </is>
      </c>
      <c r="S190" t="inlineStr">
        <is>
          <t>Full ledger row</t>
        </is>
      </c>
    </row>
    <row r="191" spans="1:19" hidden="1">
      <c r="A191" t="inlineStr">
        <is>
          <t>LOOCV0-P9-S0-T-E008</t>
        </is>
      </c>
      <c r="B191" t="inlineStr">
        <is>
          <t>LOOCV0-P9-S0-T</t>
        </is>
      </c>
      <c r="C191" t="inlineStr">
        <is>
          <t>LOOCV0</t>
        </is>
      </c>
      <c r="D191" s="56">
        <v>2025</v>
      </c>
      <c r="E191" s="56" t="inlineStr">
        <is>
          <t>P9</t>
        </is>
      </c>
      <c r="F191" t="inlineStr">
        <is>
          <t>104 Seaside Circle</t>
        </is>
      </c>
      <c r="G191" t="inlineStr">
        <is>
          <t>Table</t>
        </is>
      </c>
      <c r="H191" s="62">
        <v>8</v>
      </c>
      <c r="I191">
        <v>8</v>
      </c>
      <c r="J191" s="65">
        <v>690000</v>
      </c>
      <c r="K191" s="65">
        <v>645000</v>
      </c>
      <c r="L191" s="65">
        <v>610000</v>
      </c>
      <c r="M191" s="56" t="inlineStr">
        <is>
          <t>Yes</t>
        </is>
      </c>
      <c r="N191" t="inlineStr">
        <is>
          <t>Original</t>
        </is>
      </c>
      <c r="O191" t="inlineStr">
        <is>
          <t>QUALIFY</t>
        </is>
      </c>
      <c r="R191" t="inlineStr">
        <is>
          <t>Input table contains stray S2 wording in calculation note; QC found no material propagation into the S0 reconstruction. No P1-style temporal evidence-surface exclusion identified.</t>
        </is>
      </c>
      <c r="S191" t="inlineStr">
        <is>
          <t>Full ledger row</t>
        </is>
      </c>
    </row>
    <row r="192" spans="1:19" hidden="1">
      <c r="A192" t="inlineStr">
        <is>
          <t>LOOCV0-P9-S0-T-E009</t>
        </is>
      </c>
      <c r="B192" t="inlineStr">
        <is>
          <t>LOOCV0-P9-S0-T</t>
        </is>
      </c>
      <c r="C192" t="inlineStr">
        <is>
          <t>LOOCV0</t>
        </is>
      </c>
      <c r="D192" s="56">
        <v>2025</v>
      </c>
      <c r="E192" s="56" t="inlineStr">
        <is>
          <t>P9</t>
        </is>
      </c>
      <c r="F192" t="inlineStr">
        <is>
          <t>104 Seaside Circle</t>
        </is>
      </c>
      <c r="G192" t="inlineStr">
        <is>
          <t>Table</t>
        </is>
      </c>
      <c r="H192" s="62">
        <v>9</v>
      </c>
      <c r="I192">
        <v>9</v>
      </c>
      <c r="J192" s="65">
        <v>705000</v>
      </c>
      <c r="K192" s="65">
        <v>650000</v>
      </c>
      <c r="L192" s="65">
        <v>610000</v>
      </c>
      <c r="M192" s="56" t="inlineStr">
        <is>
          <t>Yes</t>
        </is>
      </c>
      <c r="N192" t="inlineStr">
        <is>
          <t>Original</t>
        </is>
      </c>
      <c r="O192" t="inlineStr">
        <is>
          <t>QUALIFY</t>
        </is>
      </c>
      <c r="R192" t="inlineStr">
        <is>
          <t>Input table contains stray S2 wording in calculation note; QC found no material propagation into the S0 reconstruction. No P1-style temporal evidence-surface exclusion identified.</t>
        </is>
      </c>
      <c r="S192" t="inlineStr">
        <is>
          <t>Full ledger row</t>
        </is>
      </c>
    </row>
    <row r="193" spans="1:19" hidden="1">
      <c r="A193" t="inlineStr">
        <is>
          <t>LOOCV0-P9-S0-T-E010</t>
        </is>
      </c>
      <c r="B193" t="inlineStr">
        <is>
          <t>LOOCV0-P9-S0-T</t>
        </is>
      </c>
      <c r="C193" t="inlineStr">
        <is>
          <t>LOOCV0</t>
        </is>
      </c>
      <c r="D193" s="56">
        <v>2025</v>
      </c>
      <c r="E193" s="56" t="inlineStr">
        <is>
          <t>P9</t>
        </is>
      </c>
      <c r="F193" t="inlineStr">
        <is>
          <t>104 Seaside Circle</t>
        </is>
      </c>
      <c r="G193" t="inlineStr">
        <is>
          <t>Table</t>
        </is>
      </c>
      <c r="H193" s="62">
        <v>10</v>
      </c>
      <c r="I193">
        <v>10</v>
      </c>
      <c r="J193" s="65">
        <v>680000</v>
      </c>
      <c r="K193" s="65">
        <v>645000</v>
      </c>
      <c r="L193" s="65">
        <v>610000</v>
      </c>
      <c r="M193" s="56" t="inlineStr">
        <is>
          <t>Yes</t>
        </is>
      </c>
      <c r="N193" t="inlineStr">
        <is>
          <t>Original</t>
        </is>
      </c>
      <c r="O193" t="inlineStr">
        <is>
          <t>QUALIFY</t>
        </is>
      </c>
      <c r="R193" t="inlineStr">
        <is>
          <t>Input table contains stray S2 wording in calculation note; QC found no material propagation into the S0 reconstruction. No P1-style temporal evidence-surface exclusion identified.</t>
        </is>
      </c>
      <c r="S193" t="inlineStr">
        <is>
          <t>Full ledger row</t>
        </is>
      </c>
    </row>
    <row r="194" spans="1:19" hidden="1">
      <c r="A194" t="inlineStr">
        <is>
          <t>LOOCV1-P1-S0-T-E001</t>
        </is>
      </c>
      <c r="B194" t="inlineStr">
        <is>
          <t>LOOCV1-P1-S0-T</t>
        </is>
      </c>
      <c r="C194" t="inlineStr">
        <is>
          <t>LOOCV1</t>
        </is>
      </c>
      <c r="D194" s="56">
        <v>2025</v>
      </c>
      <c r="E194" s="56" t="inlineStr">
        <is>
          <t>P1</t>
        </is>
      </c>
      <c r="F194" t="inlineStr">
        <is>
          <t>109 Patrick Mill Circle</t>
        </is>
      </c>
      <c r="G194" t="inlineStr">
        <is>
          <t>Table</t>
        </is>
      </c>
      <c r="H194" s="62">
        <v>1</v>
      </c>
      <c r="I194">
        <v>1</v>
      </c>
      <c r="J194" s="65">
        <v>555000</v>
      </c>
      <c r="K194" s="65">
        <v>555000</v>
      </c>
      <c r="L194" s="65">
        <v>518700</v>
      </c>
      <c r="M194" s="56" t="inlineStr">
        <is>
          <t>Yes</t>
        </is>
      </c>
      <c r="N194" t="inlineStr">
        <is>
          <t>Original</t>
        </is>
      </c>
      <c r="O194" t="inlineStr">
        <is>
          <t>QUALIFY</t>
        </is>
      </c>
      <c r="R194" t="inlineStr">
        <is>
          <t>No material QC issue identified.</t>
        </is>
      </c>
      <c r="S194" t="inlineStr">
        <is>
          <t>Full ER</t>
        </is>
      </c>
    </row>
    <row r="195" spans="1:19" hidden="1">
      <c r="A195" t="inlineStr">
        <is>
          <t>LOOCV1-P1-S0-T-E002</t>
        </is>
      </c>
      <c r="B195" t="inlineStr">
        <is>
          <t>LOOCV1-P1-S0-T</t>
        </is>
      </c>
      <c r="C195" t="inlineStr">
        <is>
          <t>LOOCV1</t>
        </is>
      </c>
      <c r="D195" s="56">
        <v>2025</v>
      </c>
      <c r="E195" s="56" t="inlineStr">
        <is>
          <t>P1</t>
        </is>
      </c>
      <c r="F195" t="inlineStr">
        <is>
          <t>109 Patrick Mill Circle</t>
        </is>
      </c>
      <c r="G195" t="inlineStr">
        <is>
          <t>Table</t>
        </is>
      </c>
      <c r="H195" s="62">
        <v>2</v>
      </c>
      <c r="I195">
        <v>2</v>
      </c>
      <c r="J195" s="65">
        <v>565000</v>
      </c>
      <c r="K195" s="65">
        <v>560000</v>
      </c>
      <c r="L195" s="65">
        <v>518700</v>
      </c>
      <c r="M195" s="56" t="inlineStr">
        <is>
          <t>Yes</t>
        </is>
      </c>
      <c r="N195" t="inlineStr">
        <is>
          <t>Original</t>
        </is>
      </c>
      <c r="O195" t="inlineStr">
        <is>
          <t>QUALIFY</t>
        </is>
      </c>
      <c r="R195" t="inlineStr">
        <is>
          <t>No material QC issue identified.</t>
        </is>
      </c>
      <c r="S195" t="inlineStr">
        <is>
          <t>Full ER</t>
        </is>
      </c>
    </row>
    <row r="196" spans="1:19" hidden="1">
      <c r="A196" t="inlineStr">
        <is>
          <t>LOOCV1-P1-S0-T-E003</t>
        </is>
      </c>
      <c r="B196" t="inlineStr">
        <is>
          <t>LOOCV1-P1-S0-T</t>
        </is>
      </c>
      <c r="C196" t="inlineStr">
        <is>
          <t>LOOCV1</t>
        </is>
      </c>
      <c r="D196" s="56">
        <v>2025</v>
      </c>
      <c r="E196" s="56" t="inlineStr">
        <is>
          <t>P1</t>
        </is>
      </c>
      <c r="F196" t="inlineStr">
        <is>
          <t>109 Patrick Mill Circle</t>
        </is>
      </c>
      <c r="G196" t="inlineStr">
        <is>
          <t>Table</t>
        </is>
      </c>
      <c r="H196" s="62">
        <v>3</v>
      </c>
      <c r="I196">
        <v>3</v>
      </c>
      <c r="J196" s="65">
        <v>565000</v>
      </c>
      <c r="K196" s="65">
        <v>555000</v>
      </c>
      <c r="L196" s="65">
        <v>518700</v>
      </c>
      <c r="M196" s="56" t="inlineStr">
        <is>
          <t>Yes</t>
        </is>
      </c>
      <c r="N196" t="inlineStr">
        <is>
          <t>Original</t>
        </is>
      </c>
      <c r="O196" t="inlineStr">
        <is>
          <t>QUALIFY</t>
        </is>
      </c>
      <c r="R196" t="inlineStr">
        <is>
          <t>No material QC issue identified.</t>
        </is>
      </c>
      <c r="S196" t="inlineStr">
        <is>
          <t>Full ER</t>
        </is>
      </c>
    </row>
    <row r="197" spans="1:19" hidden="1">
      <c r="A197" t="inlineStr">
        <is>
          <t>LOOCV1-P1-S0-T-E004</t>
        </is>
      </c>
      <c r="B197" t="inlineStr">
        <is>
          <t>LOOCV1-P1-S0-T</t>
        </is>
      </c>
      <c r="C197" t="inlineStr">
        <is>
          <t>LOOCV1</t>
        </is>
      </c>
      <c r="D197" s="56">
        <v>2025</v>
      </c>
      <c r="E197" s="56" t="inlineStr">
        <is>
          <t>P1</t>
        </is>
      </c>
      <c r="F197" t="inlineStr">
        <is>
          <t>109 Patrick Mill Circle</t>
        </is>
      </c>
      <c r="G197" t="inlineStr">
        <is>
          <t>Table</t>
        </is>
      </c>
      <c r="H197" s="62">
        <v>4</v>
      </c>
      <c r="I197">
        <v>4</v>
      </c>
      <c r="J197" s="65">
        <v>565000</v>
      </c>
      <c r="K197" s="65">
        <v>550000</v>
      </c>
      <c r="L197" s="65">
        <v>518700</v>
      </c>
      <c r="M197" s="56" t="inlineStr">
        <is>
          <t>Yes</t>
        </is>
      </c>
      <c r="N197" t="inlineStr">
        <is>
          <t>Original</t>
        </is>
      </c>
      <c r="O197" t="inlineStr">
        <is>
          <t>QUALIFY</t>
        </is>
      </c>
      <c r="R197" t="inlineStr">
        <is>
          <t>No material QC issue identified.</t>
        </is>
      </c>
      <c r="S197" t="inlineStr">
        <is>
          <t>Full ER</t>
        </is>
      </c>
    </row>
    <row r="198" spans="1:19" hidden="1">
      <c r="A198" t="inlineStr">
        <is>
          <t>LOOCV1-P1-S0-T-E005</t>
        </is>
      </c>
      <c r="B198" t="inlineStr">
        <is>
          <t>LOOCV1-P1-S0-T</t>
        </is>
      </c>
      <c r="C198" t="inlineStr">
        <is>
          <t>LOOCV1</t>
        </is>
      </c>
      <c r="D198" s="56">
        <v>2025</v>
      </c>
      <c r="E198" s="56" t="inlineStr">
        <is>
          <t>P1</t>
        </is>
      </c>
      <c r="F198" t="inlineStr">
        <is>
          <t>109 Patrick Mill Circle</t>
        </is>
      </c>
      <c r="G198" t="inlineStr">
        <is>
          <t>Table</t>
        </is>
      </c>
      <c r="H198" s="62">
        <v>5</v>
      </c>
      <c r="I198">
        <v>5</v>
      </c>
      <c r="J198" s="65">
        <v>565000</v>
      </c>
      <c r="K198" s="65">
        <v>555000</v>
      </c>
      <c r="L198" s="65">
        <v>518700</v>
      </c>
      <c r="M198" s="56" t="inlineStr">
        <is>
          <t>Yes</t>
        </is>
      </c>
      <c r="N198" t="inlineStr">
        <is>
          <t>Original</t>
        </is>
      </c>
      <c r="O198" t="inlineStr">
        <is>
          <t>QUALIFY</t>
        </is>
      </c>
      <c r="R198" t="inlineStr">
        <is>
          <t>No material QC issue identified.</t>
        </is>
      </c>
      <c r="S198" t="inlineStr">
        <is>
          <t>Full ER</t>
        </is>
      </c>
    </row>
    <row r="199" spans="1:19" hidden="1">
      <c r="A199" t="inlineStr">
        <is>
          <t>LOOCV1-P1-S0-T-E006</t>
        </is>
      </c>
      <c r="B199" t="inlineStr">
        <is>
          <t>LOOCV1-P1-S0-T</t>
        </is>
      </c>
      <c r="C199" t="inlineStr">
        <is>
          <t>LOOCV1</t>
        </is>
      </c>
      <c r="D199" s="56">
        <v>2025</v>
      </c>
      <c r="E199" s="56" t="inlineStr">
        <is>
          <t>P1</t>
        </is>
      </c>
      <c r="F199" t="inlineStr">
        <is>
          <t>109 Patrick Mill Circle</t>
        </is>
      </c>
      <c r="G199" t="inlineStr">
        <is>
          <t>Table</t>
        </is>
      </c>
      <c r="H199" s="62">
        <v>6</v>
      </c>
      <c r="I199">
        <v>6</v>
      </c>
      <c r="J199" s="65">
        <v>555000</v>
      </c>
      <c r="K199" s="65">
        <v>560000</v>
      </c>
      <c r="L199" s="65">
        <v>518700</v>
      </c>
      <c r="M199" s="56" t="inlineStr">
        <is>
          <t>Yes</t>
        </is>
      </c>
      <c r="N199" t="inlineStr">
        <is>
          <t>Original</t>
        </is>
      </c>
      <c r="O199" t="inlineStr">
        <is>
          <t>QUALIFY</t>
        </is>
      </c>
      <c r="R199" t="inlineStr">
        <is>
          <t>No material QC issue identified.</t>
        </is>
      </c>
      <c r="S199" t="inlineStr">
        <is>
          <t>Full ER</t>
        </is>
      </c>
    </row>
    <row r="200" spans="1:19" hidden="1">
      <c r="A200" t="inlineStr">
        <is>
          <t>LOOCV1-P1-S0-T-E007</t>
        </is>
      </c>
      <c r="B200" t="inlineStr">
        <is>
          <t>LOOCV1-P1-S0-T</t>
        </is>
      </c>
      <c r="C200" t="inlineStr">
        <is>
          <t>LOOCV1</t>
        </is>
      </c>
      <c r="D200" s="56">
        <v>2025</v>
      </c>
      <c r="E200" s="56" t="inlineStr">
        <is>
          <t>P1</t>
        </is>
      </c>
      <c r="F200" t="inlineStr">
        <is>
          <t>109 Patrick Mill Circle</t>
        </is>
      </c>
      <c r="G200" t="inlineStr">
        <is>
          <t>Table</t>
        </is>
      </c>
      <c r="H200" s="62">
        <v>7</v>
      </c>
      <c r="I200">
        <v>7</v>
      </c>
      <c r="J200" s="65">
        <v>565000</v>
      </c>
      <c r="K200" s="65">
        <v>557500</v>
      </c>
      <c r="L200" s="65">
        <v>518700</v>
      </c>
      <c r="M200" s="56" t="inlineStr">
        <is>
          <t>Yes</t>
        </is>
      </c>
      <c r="N200" t="inlineStr">
        <is>
          <t>Original</t>
        </is>
      </c>
      <c r="O200" t="inlineStr">
        <is>
          <t>QUALIFY</t>
        </is>
      </c>
      <c r="R200" t="inlineStr">
        <is>
          <t>No material QC issue identified.</t>
        </is>
      </c>
      <c r="S200" t="inlineStr">
        <is>
          <t>Full ER</t>
        </is>
      </c>
    </row>
    <row r="201" spans="1:19" hidden="1">
      <c r="A201" t="inlineStr">
        <is>
          <t>LOOCV1-P1-S0-T-E008</t>
        </is>
      </c>
      <c r="B201" t="inlineStr">
        <is>
          <t>LOOCV1-P1-S0-T</t>
        </is>
      </c>
      <c r="C201" t="inlineStr">
        <is>
          <t>LOOCV1</t>
        </is>
      </c>
      <c r="D201" s="56">
        <v>2025</v>
      </c>
      <c r="E201" s="56" t="inlineStr">
        <is>
          <t>P1</t>
        </is>
      </c>
      <c r="F201" t="inlineStr">
        <is>
          <t>109 Patrick Mill Circle</t>
        </is>
      </c>
      <c r="G201" t="inlineStr">
        <is>
          <t>Table</t>
        </is>
      </c>
      <c r="H201" s="62">
        <v>8</v>
      </c>
      <c r="I201">
        <v>8</v>
      </c>
      <c r="J201" s="65">
        <v>545000</v>
      </c>
      <c r="K201" s="65">
        <v>550000</v>
      </c>
      <c r="L201" s="65">
        <v>518700</v>
      </c>
      <c r="M201" s="56" t="inlineStr">
        <is>
          <t>Yes</t>
        </is>
      </c>
      <c r="N201" t="inlineStr">
        <is>
          <t>Original</t>
        </is>
      </c>
      <c r="O201" t="inlineStr">
        <is>
          <t>QUALIFY</t>
        </is>
      </c>
      <c r="R201" t="inlineStr">
        <is>
          <t>No material QC issue identified.</t>
        </is>
      </c>
      <c r="S201" t="inlineStr">
        <is>
          <t>Full ER</t>
        </is>
      </c>
    </row>
    <row r="202" spans="1:19" hidden="1">
      <c r="A202" t="inlineStr">
        <is>
          <t>LOOCV1-P1-S0-T-E009</t>
        </is>
      </c>
      <c r="B202" t="inlineStr">
        <is>
          <t>LOOCV1-P1-S0-T</t>
        </is>
      </c>
      <c r="C202" t="inlineStr">
        <is>
          <t>LOOCV1</t>
        </is>
      </c>
      <c r="D202" s="56">
        <v>2025</v>
      </c>
      <c r="E202" s="56" t="inlineStr">
        <is>
          <t>P1</t>
        </is>
      </c>
      <c r="F202" t="inlineStr">
        <is>
          <t>109 Patrick Mill Circle</t>
        </is>
      </c>
      <c r="G202" t="inlineStr">
        <is>
          <t>Table</t>
        </is>
      </c>
      <c r="H202" s="62">
        <v>9</v>
      </c>
      <c r="I202">
        <v>9</v>
      </c>
      <c r="J202" s="65">
        <v>560000</v>
      </c>
      <c r="K202" s="65">
        <v>560000</v>
      </c>
      <c r="L202" s="65">
        <v>518700</v>
      </c>
      <c r="M202" s="56" t="inlineStr">
        <is>
          <t>Yes</t>
        </is>
      </c>
      <c r="N202" t="inlineStr">
        <is>
          <t>Original</t>
        </is>
      </c>
      <c r="O202" t="inlineStr">
        <is>
          <t>QUALIFY</t>
        </is>
      </c>
      <c r="R202" t="inlineStr">
        <is>
          <t>No material QC issue identified.</t>
        </is>
      </c>
      <c r="S202" t="inlineStr">
        <is>
          <t>Full ER</t>
        </is>
      </c>
    </row>
    <row r="203" spans="1:19" hidden="1">
      <c r="A203" t="inlineStr">
        <is>
          <t>LOOCV1-P1-S0-T-E010</t>
        </is>
      </c>
      <c r="B203" t="inlineStr">
        <is>
          <t>LOOCV1-P1-S0-T</t>
        </is>
      </c>
      <c r="C203" t="inlineStr">
        <is>
          <t>LOOCV1</t>
        </is>
      </c>
      <c r="D203" s="56">
        <v>2025</v>
      </c>
      <c r="E203" s="56" t="inlineStr">
        <is>
          <t>P1</t>
        </is>
      </c>
      <c r="F203" t="inlineStr">
        <is>
          <t>109 Patrick Mill Circle</t>
        </is>
      </c>
      <c r="G203" t="inlineStr">
        <is>
          <t>Table</t>
        </is>
      </c>
      <c r="H203" s="62">
        <v>10</v>
      </c>
      <c r="I203">
        <v>10</v>
      </c>
      <c r="J203" s="65">
        <v>565000</v>
      </c>
      <c r="K203" s="65">
        <v>550000</v>
      </c>
      <c r="L203" s="65">
        <v>518700</v>
      </c>
      <c r="M203" s="56" t="inlineStr">
        <is>
          <t>Yes</t>
        </is>
      </c>
      <c r="N203" t="inlineStr">
        <is>
          <t>Original</t>
        </is>
      </c>
      <c r="O203" t="inlineStr">
        <is>
          <t>QUALIFY</t>
        </is>
      </c>
      <c r="R203" t="inlineStr">
        <is>
          <t>No material QC issue identified.</t>
        </is>
      </c>
      <c r="S203" t="inlineStr">
        <is>
          <t>Full ER</t>
        </is>
      </c>
    </row>
    <row r="204" spans="1:19" hidden="1">
      <c r="A204" t="inlineStr">
        <is>
          <t>LOOCV1-P1A-S0-T-E001</t>
        </is>
      </c>
      <c r="B204" t="inlineStr">
        <is>
          <t>LOOCV1-P1A-S0-T</t>
        </is>
      </c>
      <c r="C204" t="inlineStr">
        <is>
          <t>LOOCV1</t>
        </is>
      </c>
      <c r="D204" s="56">
        <v>2026</v>
      </c>
      <c r="E204" s="56" t="inlineStr">
        <is>
          <t>P1A</t>
        </is>
      </c>
      <c r="F204" t="inlineStr">
        <is>
          <t>132 Patrick Mill Circle</t>
        </is>
      </c>
      <c r="G204" t="inlineStr">
        <is>
          <t>Table</t>
        </is>
      </c>
      <c r="H204" s="62">
        <v>1</v>
      </c>
      <c r="I204">
        <v>1</v>
      </c>
      <c r="J204" s="65">
        <v>655000</v>
      </c>
      <c r="K204" s="65">
        <v>635000</v>
      </c>
      <c r="L204" s="65">
        <v>650000</v>
      </c>
      <c r="M204" s="56" t="inlineStr">
        <is>
          <t>Yes</t>
        </is>
      </c>
      <c r="N204" t="inlineStr">
        <is>
          <t>Original</t>
        </is>
      </c>
      <c r="O204" t="inlineStr">
        <is>
          <t>QUALIFY</t>
        </is>
      </c>
      <c r="R204" t="inlineStr">
        <is>
          <t>No material QC issue identified.</t>
        </is>
      </c>
      <c r="S204" t="inlineStr">
        <is>
          <t>Full ER</t>
        </is>
      </c>
    </row>
    <row r="205" spans="1:19" hidden="1">
      <c r="A205" t="inlineStr">
        <is>
          <t>LOOCV1-P1A-S0-T-E002</t>
        </is>
      </c>
      <c r="B205" t="inlineStr">
        <is>
          <t>LOOCV1-P1A-S0-T</t>
        </is>
      </c>
      <c r="C205" t="inlineStr">
        <is>
          <t>LOOCV1</t>
        </is>
      </c>
      <c r="D205" s="56">
        <v>2026</v>
      </c>
      <c r="E205" s="56" t="inlineStr">
        <is>
          <t>P1A</t>
        </is>
      </c>
      <c r="F205" t="inlineStr">
        <is>
          <t>132 Patrick Mill Circle</t>
        </is>
      </c>
      <c r="G205" t="inlineStr">
        <is>
          <t>Table</t>
        </is>
      </c>
      <c r="H205" s="62">
        <v>2</v>
      </c>
      <c r="I205">
        <v>2</v>
      </c>
      <c r="J205" s="65">
        <v>655000</v>
      </c>
      <c r="K205" s="65">
        <v>645000</v>
      </c>
      <c r="L205" s="65">
        <v>650000</v>
      </c>
      <c r="M205" s="56" t="inlineStr">
        <is>
          <t>Yes</t>
        </is>
      </c>
      <c r="N205" t="inlineStr">
        <is>
          <t>Original</t>
        </is>
      </c>
      <c r="O205" t="inlineStr">
        <is>
          <t>QUALIFY</t>
        </is>
      </c>
      <c r="R205" t="inlineStr">
        <is>
          <t>No material QC issue identified.</t>
        </is>
      </c>
      <c r="S205" t="inlineStr">
        <is>
          <t>Full ER</t>
        </is>
      </c>
    </row>
    <row r="206" spans="1:19" hidden="1">
      <c r="A206" t="inlineStr">
        <is>
          <t>LOOCV1-P1A-S0-T-E003</t>
        </is>
      </c>
      <c r="B206" t="inlineStr">
        <is>
          <t>LOOCV1-P1A-S0-T</t>
        </is>
      </c>
      <c r="C206" t="inlineStr">
        <is>
          <t>LOOCV1</t>
        </is>
      </c>
      <c r="D206" s="56">
        <v>2026</v>
      </c>
      <c r="E206" s="56" t="inlineStr">
        <is>
          <t>P1A</t>
        </is>
      </c>
      <c r="F206" t="inlineStr">
        <is>
          <t>132 Patrick Mill Circle</t>
        </is>
      </c>
      <c r="G206" t="inlineStr">
        <is>
          <t>Table</t>
        </is>
      </c>
      <c r="I206">
        <v>3</v>
      </c>
      <c r="J206" s="65">
        <v>650000</v>
      </c>
      <c r="K206" s="65">
        <v>635000</v>
      </c>
      <c r="L206" s="65">
        <v>650000</v>
      </c>
      <c r="M206" s="56" t="inlineStr">
        <is>
          <t>No</t>
        </is>
      </c>
      <c r="N206" t="inlineStr">
        <is>
          <t>Original</t>
        </is>
      </c>
      <c r="O206" t="inlineStr">
        <is>
          <t>EXCLUDE</t>
        </is>
      </c>
      <c r="Q206">
        <v>11</v>
      </c>
      <c r="R206" t="inlineStr">
        <is>
          <t>Material Subject evidence-assimilation error: ER reconstructs P1A as having a one-car garage and uses that erroneous garage capacity as a downward valuation attribute; authorized DSS evidence supports a two-car garage.</t>
        </is>
      </c>
      <c r="S206" t="inlineStr">
        <is>
          <t>Full ER</t>
        </is>
      </c>
    </row>
    <row r="207" spans="1:19" hidden="1">
      <c r="A207" t="inlineStr">
        <is>
          <t>LOOCV1-P1A-S0-T-E004</t>
        </is>
      </c>
      <c r="B207" t="inlineStr">
        <is>
          <t>LOOCV1-P1A-S0-T</t>
        </is>
      </c>
      <c r="C207" t="inlineStr">
        <is>
          <t>LOOCV1</t>
        </is>
      </c>
      <c r="D207" s="56">
        <v>2026</v>
      </c>
      <c r="E207" s="56" t="inlineStr">
        <is>
          <t>P1A</t>
        </is>
      </c>
      <c r="F207" t="inlineStr">
        <is>
          <t>132 Patrick Mill Circle</t>
        </is>
      </c>
      <c r="G207" t="inlineStr">
        <is>
          <t>Table</t>
        </is>
      </c>
      <c r="I207">
        <v>4</v>
      </c>
      <c r="J207" s="65">
        <v>645000</v>
      </c>
      <c r="K207" s="65">
        <v>640000</v>
      </c>
      <c r="L207" s="65">
        <v>650000</v>
      </c>
      <c r="M207" s="56" t="inlineStr">
        <is>
          <t>No</t>
        </is>
      </c>
      <c r="N207" t="inlineStr">
        <is>
          <t>Original</t>
        </is>
      </c>
      <c r="O207" t="inlineStr">
        <is>
          <t>EXCLUDE</t>
        </is>
      </c>
      <c r="Q207">
        <v>12</v>
      </c>
      <c r="R207" t="inlineStr">
        <is>
          <t>Material Subject evidence-assimilation error: ER reconstructs P1A as having a one-garage-space configuration and treats it as a principal intrinsic limitation; authorized DSS evidence supports a two-car garage.</t>
        </is>
      </c>
      <c r="S207" t="inlineStr">
        <is>
          <t>Full ER</t>
        </is>
      </c>
    </row>
    <row r="208" spans="1:19" hidden="1">
      <c r="A208" t="inlineStr">
        <is>
          <t>LOOCV1-P1A-S0-T-E005</t>
        </is>
      </c>
      <c r="B208" t="inlineStr">
        <is>
          <t>LOOCV1-P1A-S0-T</t>
        </is>
      </c>
      <c r="C208" t="inlineStr">
        <is>
          <t>LOOCV1</t>
        </is>
      </c>
      <c r="D208" s="56">
        <v>2026</v>
      </c>
      <c r="E208" s="56" t="inlineStr">
        <is>
          <t>P1A</t>
        </is>
      </c>
      <c r="F208" t="inlineStr">
        <is>
          <t>132 Patrick Mill Circle</t>
        </is>
      </c>
      <c r="G208" t="inlineStr">
        <is>
          <t>Table</t>
        </is>
      </c>
      <c r="H208" s="62">
        <v>3</v>
      </c>
      <c r="I208">
        <v>5</v>
      </c>
      <c r="J208" s="65">
        <v>680000</v>
      </c>
      <c r="K208" s="65">
        <v>635000</v>
      </c>
      <c r="L208" s="65">
        <v>650000</v>
      </c>
      <c r="M208" s="56" t="inlineStr">
        <is>
          <t>Yes</t>
        </is>
      </c>
      <c r="N208" t="inlineStr">
        <is>
          <t>Original</t>
        </is>
      </c>
      <c r="O208" t="inlineStr">
        <is>
          <t>QUALIFY</t>
        </is>
      </c>
      <c r="R208" t="inlineStr">
        <is>
          <t>No material QC issue identified.</t>
        </is>
      </c>
      <c r="S208" t="inlineStr">
        <is>
          <t>Full ER</t>
        </is>
      </c>
    </row>
    <row r="209" spans="1:19" hidden="1">
      <c r="A209" t="inlineStr">
        <is>
          <t>LOOCV1-P1A-S0-T-E006</t>
        </is>
      </c>
      <c r="B209" t="inlineStr">
        <is>
          <t>LOOCV1-P1A-S0-T</t>
        </is>
      </c>
      <c r="C209" t="inlineStr">
        <is>
          <t>LOOCV1</t>
        </is>
      </c>
      <c r="D209" s="56">
        <v>2026</v>
      </c>
      <c r="E209" s="56" t="inlineStr">
        <is>
          <t>P1A</t>
        </is>
      </c>
      <c r="F209" t="inlineStr">
        <is>
          <t>132 Patrick Mill Circle</t>
        </is>
      </c>
      <c r="G209" t="inlineStr">
        <is>
          <t>Table</t>
        </is>
      </c>
      <c r="H209" s="62">
        <v>4</v>
      </c>
      <c r="I209">
        <v>6</v>
      </c>
      <c r="J209" s="65">
        <v>650000</v>
      </c>
      <c r="K209" s="65">
        <v>640000</v>
      </c>
      <c r="L209" s="65">
        <v>650000</v>
      </c>
      <c r="M209" s="56" t="inlineStr">
        <is>
          <t>Yes</t>
        </is>
      </c>
      <c r="N209" t="inlineStr">
        <is>
          <t>Original</t>
        </is>
      </c>
      <c r="O209" t="inlineStr">
        <is>
          <t>QUALIFY</t>
        </is>
      </c>
      <c r="R209" t="inlineStr">
        <is>
          <t>No material QC issue identified.</t>
        </is>
      </c>
      <c r="S209" t="inlineStr">
        <is>
          <t>Full ER</t>
        </is>
      </c>
    </row>
    <row r="210" spans="1:19" hidden="1">
      <c r="A210" t="inlineStr">
        <is>
          <t>LOOCV1-P1A-S0-T-E007</t>
        </is>
      </c>
      <c r="B210" t="inlineStr">
        <is>
          <t>LOOCV1-P1A-S0-T</t>
        </is>
      </c>
      <c r="C210" t="inlineStr">
        <is>
          <t>LOOCV1</t>
        </is>
      </c>
      <c r="D210" s="56">
        <v>2026</v>
      </c>
      <c r="E210" s="56" t="inlineStr">
        <is>
          <t>P1A</t>
        </is>
      </c>
      <c r="F210" t="inlineStr">
        <is>
          <t>132 Patrick Mill Circle</t>
        </is>
      </c>
      <c r="G210" t="inlineStr">
        <is>
          <t>Table</t>
        </is>
      </c>
      <c r="H210" s="62">
        <v>5</v>
      </c>
      <c r="I210">
        <v>7</v>
      </c>
      <c r="J210" s="65">
        <v>660000</v>
      </c>
      <c r="K210" s="65">
        <v>640000</v>
      </c>
      <c r="L210" s="65">
        <v>650000</v>
      </c>
      <c r="M210" s="56" t="inlineStr">
        <is>
          <t>Yes</t>
        </is>
      </c>
      <c r="N210" t="inlineStr">
        <is>
          <t>Original</t>
        </is>
      </c>
      <c r="O210" t="inlineStr">
        <is>
          <t>QUALIFY</t>
        </is>
      </c>
      <c r="R210" t="inlineStr">
        <is>
          <t>No material QC issue identified.</t>
        </is>
      </c>
      <c r="S210" t="inlineStr">
        <is>
          <t>Full ER</t>
        </is>
      </c>
    </row>
    <row r="211" spans="1:19" hidden="1">
      <c r="A211" t="inlineStr">
        <is>
          <t>LOOCV1-P1A-S0-T-E008</t>
        </is>
      </c>
      <c r="B211" t="inlineStr">
        <is>
          <t>LOOCV1-P1A-S0-T</t>
        </is>
      </c>
      <c r="C211" t="inlineStr">
        <is>
          <t>LOOCV1</t>
        </is>
      </c>
      <c r="D211" s="56">
        <v>2026</v>
      </c>
      <c r="E211" s="56" t="inlineStr">
        <is>
          <t>P1A</t>
        </is>
      </c>
      <c r="F211" t="inlineStr">
        <is>
          <t>132 Patrick Mill Circle</t>
        </is>
      </c>
      <c r="G211" t="inlineStr">
        <is>
          <t>Table</t>
        </is>
      </c>
      <c r="H211" s="62">
        <v>6</v>
      </c>
      <c r="I211">
        <v>8</v>
      </c>
      <c r="J211" s="65">
        <v>650000</v>
      </c>
      <c r="K211" s="65">
        <v>635000</v>
      </c>
      <c r="L211" s="65">
        <v>650000</v>
      </c>
      <c r="M211" s="56" t="inlineStr">
        <is>
          <t>Yes</t>
        </is>
      </c>
      <c r="N211" t="inlineStr">
        <is>
          <t>Original</t>
        </is>
      </c>
      <c r="O211" t="inlineStr">
        <is>
          <t>QUALIFY</t>
        </is>
      </c>
      <c r="R211" t="inlineStr">
        <is>
          <t>No material QC issue identified.</t>
        </is>
      </c>
      <c r="S211" t="inlineStr">
        <is>
          <t>Full ER</t>
        </is>
      </c>
    </row>
    <row r="212" spans="1:19" hidden="1">
      <c r="A212" t="inlineStr">
        <is>
          <t>LOOCV1-P1A-S0-T-E009</t>
        </is>
      </c>
      <c r="B212" t="inlineStr">
        <is>
          <t>LOOCV1-P1A-S0-T</t>
        </is>
      </c>
      <c r="C212" t="inlineStr">
        <is>
          <t>LOOCV1</t>
        </is>
      </c>
      <c r="D212" s="56">
        <v>2026</v>
      </c>
      <c r="E212" s="56" t="inlineStr">
        <is>
          <t>P1A</t>
        </is>
      </c>
      <c r="F212" t="inlineStr">
        <is>
          <t>132 Patrick Mill Circle</t>
        </is>
      </c>
      <c r="G212" t="inlineStr">
        <is>
          <t>Table</t>
        </is>
      </c>
      <c r="H212" s="62">
        <v>7</v>
      </c>
      <c r="I212">
        <v>9</v>
      </c>
      <c r="J212" s="65">
        <v>650000</v>
      </c>
      <c r="K212" s="65">
        <v>640000</v>
      </c>
      <c r="L212" s="65">
        <v>650000</v>
      </c>
      <c r="M212" s="56" t="inlineStr">
        <is>
          <t>Yes</t>
        </is>
      </c>
      <c r="N212" t="inlineStr">
        <is>
          <t>Original</t>
        </is>
      </c>
      <c r="O212" t="inlineStr">
        <is>
          <t>QUALIFY</t>
        </is>
      </c>
      <c r="R212" t="inlineStr">
        <is>
          <t>No material QC issue identified.</t>
        </is>
      </c>
      <c r="S212" t="inlineStr">
        <is>
          <t>Full ER</t>
        </is>
      </c>
    </row>
    <row r="213" spans="1:19" hidden="1">
      <c r="A213" t="inlineStr">
        <is>
          <t>LOOCV1-P1A-S0-T-E010</t>
        </is>
      </c>
      <c r="B213" t="inlineStr">
        <is>
          <t>LOOCV1-P1A-S0-T</t>
        </is>
      </c>
      <c r="C213" t="inlineStr">
        <is>
          <t>LOOCV1</t>
        </is>
      </c>
      <c r="D213" s="56">
        <v>2026</v>
      </c>
      <c r="E213" s="56" t="inlineStr">
        <is>
          <t>P1A</t>
        </is>
      </c>
      <c r="F213" t="inlineStr">
        <is>
          <t>132 Patrick Mill Circle</t>
        </is>
      </c>
      <c r="G213" t="inlineStr">
        <is>
          <t>Table</t>
        </is>
      </c>
      <c r="H213" s="62">
        <v>8</v>
      </c>
      <c r="I213">
        <v>10</v>
      </c>
      <c r="J213" s="65">
        <v>640000</v>
      </c>
      <c r="K213" s="65">
        <v>625000</v>
      </c>
      <c r="L213" s="65">
        <v>650000</v>
      </c>
      <c r="M213" s="56" t="inlineStr">
        <is>
          <t>Yes</t>
        </is>
      </c>
      <c r="N213" t="inlineStr">
        <is>
          <t>Original</t>
        </is>
      </c>
      <c r="O213" t="inlineStr">
        <is>
          <t>QUALIFY</t>
        </is>
      </c>
      <c r="R213" t="inlineStr">
        <is>
          <t>No material QC issue identified.</t>
        </is>
      </c>
      <c r="S213" t="inlineStr">
        <is>
          <t>Full ER</t>
        </is>
      </c>
    </row>
    <row r="214" spans="1:19" hidden="1">
      <c r="A214" t="inlineStr">
        <is>
          <t>LOOCV1-P1A-S0-T-E011</t>
        </is>
      </c>
      <c r="B214" t="inlineStr">
        <is>
          <t>LOOCV1-P1A-S0-T</t>
        </is>
      </c>
      <c r="C214" t="inlineStr">
        <is>
          <t>LOOCV1</t>
        </is>
      </c>
      <c r="D214" s="56">
        <v>2026</v>
      </c>
      <c r="E214" s="56" t="inlineStr">
        <is>
          <t>P1A</t>
        </is>
      </c>
      <c r="F214" t="inlineStr">
        <is>
          <t>132 Patrick Mill Circle</t>
        </is>
      </c>
      <c r="G214" t="inlineStr">
        <is>
          <t>Table</t>
        </is>
      </c>
      <c r="H214" s="62">
        <v>9</v>
      </c>
      <c r="I214">
        <v>11</v>
      </c>
      <c r="J214" s="65">
        <v>655000</v>
      </c>
      <c r="K214" s="65">
        <v>650000</v>
      </c>
      <c r="L214" s="65">
        <v>650000</v>
      </c>
      <c r="M214" s="56" t="inlineStr">
        <is>
          <t>Yes</t>
        </is>
      </c>
      <c r="N214" t="inlineStr">
        <is>
          <t>Original</t>
        </is>
      </c>
      <c r="O214" t="inlineStr">
        <is>
          <t>QUALIFY</t>
        </is>
      </c>
      <c r="P214">
        <v>3</v>
      </c>
      <c r="R214" t="inlineStr">
        <is>
          <t>Replacement execution for excluded Run 3; generated to restore official n=10 after material garage-capacity evidence-assimilation error in original Run 3.</t>
        </is>
      </c>
      <c r="S214" t="inlineStr">
        <is>
          <t>Full ER</t>
        </is>
      </c>
    </row>
    <row r="215" spans="1:19" hidden="1">
      <c r="A215" t="inlineStr">
        <is>
          <t>LOOCV1-P1A-S0-T-E012</t>
        </is>
      </c>
      <c r="B215" t="inlineStr">
        <is>
          <t>LOOCV1-P1A-S0-T</t>
        </is>
      </c>
      <c r="C215" t="inlineStr">
        <is>
          <t>LOOCV1</t>
        </is>
      </c>
      <c r="D215" s="56">
        <v>2026</v>
      </c>
      <c r="E215" s="56" t="inlineStr">
        <is>
          <t>P1A</t>
        </is>
      </c>
      <c r="F215" t="inlineStr">
        <is>
          <t>132 Patrick Mill Circle</t>
        </is>
      </c>
      <c r="G215" t="inlineStr">
        <is>
          <t>Table</t>
        </is>
      </c>
      <c r="H215" s="62">
        <v>10</v>
      </c>
      <c r="I215">
        <v>12</v>
      </c>
      <c r="J215" s="65">
        <v>655000</v>
      </c>
      <c r="K215" s="65">
        <v>635000</v>
      </c>
      <c r="L215" s="65">
        <v>650000</v>
      </c>
      <c r="M215" s="56" t="inlineStr">
        <is>
          <t>Yes</t>
        </is>
      </c>
      <c r="N215" t="inlineStr">
        <is>
          <t>Original</t>
        </is>
      </c>
      <c r="O215" t="inlineStr">
        <is>
          <t>QUALIFY</t>
        </is>
      </c>
      <c r="P215">
        <v>4</v>
      </c>
      <c r="R215" t="inlineStr">
        <is>
          <t>Replacement execution for excluded Run 4; generated to restore official n=10 after material garage-capacity evidence-assimilation error in original Run 4.</t>
        </is>
      </c>
      <c r="S215" t="inlineStr">
        <is>
          <t>Full ER</t>
        </is>
      </c>
    </row>
    <row r="216" spans="1:19" hidden="1">
      <c r="A216" t="inlineStr">
        <is>
          <t>LOOCV1-P2-S0-T-E001</t>
        </is>
      </c>
      <c r="B216" t="inlineStr">
        <is>
          <t>LOOCV1-P2-S0-T</t>
        </is>
      </c>
      <c r="C216" t="inlineStr">
        <is>
          <t>LOOCV1</t>
        </is>
      </c>
      <c r="D216" s="56">
        <v>2025</v>
      </c>
      <c r="E216" s="56" t="inlineStr">
        <is>
          <t>P2</t>
        </is>
      </c>
      <c r="F216" t="inlineStr">
        <is>
          <t>265 Patrick Mill Circle</t>
        </is>
      </c>
      <c r="G216" t="inlineStr">
        <is>
          <t>Table</t>
        </is>
      </c>
      <c r="H216" s="62">
        <v>1</v>
      </c>
      <c r="I216">
        <v>1</v>
      </c>
      <c r="J216" s="65">
        <v>715000</v>
      </c>
      <c r="K216" s="65">
        <v>700000</v>
      </c>
      <c r="L216" s="65">
        <v>675000</v>
      </c>
      <c r="M216" s="56" t="inlineStr">
        <is>
          <t>Yes</t>
        </is>
      </c>
      <c r="N216" t="inlineStr">
        <is>
          <t>Original</t>
        </is>
      </c>
      <c r="O216" t="inlineStr">
        <is>
          <t>QUALIFY</t>
        </is>
      </c>
      <c r="R216" t="inlineStr">
        <is>
          <t>No material QC issue identified.</t>
        </is>
      </c>
      <c r="S216" t="inlineStr">
        <is>
          <t>Full ER</t>
        </is>
      </c>
    </row>
    <row r="217" spans="1:19" hidden="1">
      <c r="A217" t="inlineStr">
        <is>
          <t>LOOCV1-P2-S0-T-E002</t>
        </is>
      </c>
      <c r="B217" t="inlineStr">
        <is>
          <t>LOOCV1-P2-S0-T</t>
        </is>
      </c>
      <c r="C217" t="inlineStr">
        <is>
          <t>LOOCV1</t>
        </is>
      </c>
      <c r="D217" s="56">
        <v>2025</v>
      </c>
      <c r="E217" s="56" t="inlineStr">
        <is>
          <t>P2</t>
        </is>
      </c>
      <c r="F217" t="inlineStr">
        <is>
          <t>265 Patrick Mill Circle</t>
        </is>
      </c>
      <c r="G217" t="inlineStr">
        <is>
          <t>Table</t>
        </is>
      </c>
      <c r="H217" s="62">
        <v>2</v>
      </c>
      <c r="I217">
        <v>2</v>
      </c>
      <c r="J217" s="65">
        <v>700000</v>
      </c>
      <c r="K217" s="65">
        <v>690000</v>
      </c>
      <c r="L217" s="65">
        <v>675000</v>
      </c>
      <c r="M217" s="56" t="inlineStr">
        <is>
          <t>Yes</t>
        </is>
      </c>
      <c r="N217" t="inlineStr">
        <is>
          <t>Original</t>
        </is>
      </c>
      <c r="O217" t="inlineStr">
        <is>
          <t>QUALIFY</t>
        </is>
      </c>
      <c r="R217" t="inlineStr">
        <is>
          <t>No material QC issue identified.</t>
        </is>
      </c>
      <c r="S217" t="inlineStr">
        <is>
          <t>Full ER</t>
        </is>
      </c>
    </row>
    <row r="218" spans="1:19" hidden="1">
      <c r="A218" t="inlineStr">
        <is>
          <t>LOOCV1-P2-S0-T-E003</t>
        </is>
      </c>
      <c r="B218" t="inlineStr">
        <is>
          <t>LOOCV1-P2-S0-T</t>
        </is>
      </c>
      <c r="C218" t="inlineStr">
        <is>
          <t>LOOCV1</t>
        </is>
      </c>
      <c r="D218" s="56">
        <v>2025</v>
      </c>
      <c r="E218" s="56" t="inlineStr">
        <is>
          <t>P2</t>
        </is>
      </c>
      <c r="F218" t="inlineStr">
        <is>
          <t>265 Patrick Mill Circle</t>
        </is>
      </c>
      <c r="G218" t="inlineStr">
        <is>
          <t>Table</t>
        </is>
      </c>
      <c r="H218" s="62">
        <v>3</v>
      </c>
      <c r="I218">
        <v>3</v>
      </c>
      <c r="J218" s="65">
        <v>690000</v>
      </c>
      <c r="K218" s="65">
        <v>690000</v>
      </c>
      <c r="L218" s="65">
        <v>675000</v>
      </c>
      <c r="M218" s="56" t="inlineStr">
        <is>
          <t>Yes</t>
        </is>
      </c>
      <c r="N218" t="inlineStr">
        <is>
          <t>Original</t>
        </is>
      </c>
      <c r="O218" t="inlineStr">
        <is>
          <t>QUALIFY</t>
        </is>
      </c>
      <c r="R218" t="inlineStr">
        <is>
          <t>No material QC issue identified.</t>
        </is>
      </c>
      <c r="S218" t="inlineStr">
        <is>
          <t>Full ER</t>
        </is>
      </c>
    </row>
    <row r="219" spans="1:19" hidden="1">
      <c r="A219" t="inlineStr">
        <is>
          <t>LOOCV1-P2-S0-T-E004</t>
        </is>
      </c>
      <c r="B219" t="inlineStr">
        <is>
          <t>LOOCV1-P2-S0-T</t>
        </is>
      </c>
      <c r="C219" t="inlineStr">
        <is>
          <t>LOOCV1</t>
        </is>
      </c>
      <c r="D219" s="56">
        <v>2025</v>
      </c>
      <c r="E219" s="56" t="inlineStr">
        <is>
          <t>P2</t>
        </is>
      </c>
      <c r="F219" t="inlineStr">
        <is>
          <t>265 Patrick Mill Circle</t>
        </is>
      </c>
      <c r="G219" t="inlineStr">
        <is>
          <t>Table</t>
        </is>
      </c>
      <c r="H219" s="62">
        <v>4</v>
      </c>
      <c r="I219">
        <v>4</v>
      </c>
      <c r="J219" s="65">
        <v>715000</v>
      </c>
      <c r="K219" s="65">
        <v>690000</v>
      </c>
      <c r="L219" s="65">
        <v>675000</v>
      </c>
      <c r="M219" s="56" t="inlineStr">
        <is>
          <t>Yes</t>
        </is>
      </c>
      <c r="N219" t="inlineStr">
        <is>
          <t>Original</t>
        </is>
      </c>
      <c r="O219" t="inlineStr">
        <is>
          <t>QUALIFY</t>
        </is>
      </c>
      <c r="R219" t="inlineStr">
        <is>
          <t>No material QC issue identified.</t>
        </is>
      </c>
      <c r="S219" t="inlineStr">
        <is>
          <t>Full ER</t>
        </is>
      </c>
    </row>
    <row r="220" spans="1:19" hidden="1">
      <c r="A220" t="inlineStr">
        <is>
          <t>LOOCV1-P2-S0-T-E005</t>
        </is>
      </c>
      <c r="B220" t="inlineStr">
        <is>
          <t>LOOCV1-P2-S0-T</t>
        </is>
      </c>
      <c r="C220" t="inlineStr">
        <is>
          <t>LOOCV1</t>
        </is>
      </c>
      <c r="D220" s="56">
        <v>2025</v>
      </c>
      <c r="E220" s="56" t="inlineStr">
        <is>
          <t>P2</t>
        </is>
      </c>
      <c r="F220" t="inlineStr">
        <is>
          <t>265 Patrick Mill Circle</t>
        </is>
      </c>
      <c r="G220" t="inlineStr">
        <is>
          <t>Table</t>
        </is>
      </c>
      <c r="H220" s="62">
        <v>5</v>
      </c>
      <c r="I220">
        <v>5</v>
      </c>
      <c r="J220" s="65">
        <v>710000</v>
      </c>
      <c r="K220" s="65">
        <v>695000</v>
      </c>
      <c r="L220" s="65">
        <v>675000</v>
      </c>
      <c r="M220" s="56" t="inlineStr">
        <is>
          <t>Yes</t>
        </is>
      </c>
      <c r="N220" t="inlineStr">
        <is>
          <t>Original</t>
        </is>
      </c>
      <c r="O220" t="inlineStr">
        <is>
          <t>QUALIFY</t>
        </is>
      </c>
      <c r="R220" t="inlineStr">
        <is>
          <t>No material QC issue identified.</t>
        </is>
      </c>
      <c r="S220" t="inlineStr">
        <is>
          <t>Full ER</t>
        </is>
      </c>
    </row>
    <row r="221" spans="1:19" hidden="1">
      <c r="A221" t="inlineStr">
        <is>
          <t>LOOCV1-P2-S0-T-E006</t>
        </is>
      </c>
      <c r="B221" t="inlineStr">
        <is>
          <t>LOOCV1-P2-S0-T</t>
        </is>
      </c>
      <c r="C221" t="inlineStr">
        <is>
          <t>LOOCV1</t>
        </is>
      </c>
      <c r="D221" s="56">
        <v>2025</v>
      </c>
      <c r="E221" s="56" t="inlineStr">
        <is>
          <t>P2</t>
        </is>
      </c>
      <c r="F221" t="inlineStr">
        <is>
          <t>265 Patrick Mill Circle</t>
        </is>
      </c>
      <c r="G221" t="inlineStr">
        <is>
          <t>Table</t>
        </is>
      </c>
      <c r="H221" s="62">
        <v>6</v>
      </c>
      <c r="I221">
        <v>6</v>
      </c>
      <c r="J221" s="65">
        <v>700000</v>
      </c>
      <c r="K221" s="65">
        <v>690000</v>
      </c>
      <c r="L221" s="65">
        <v>675000</v>
      </c>
      <c r="M221" s="56" t="inlineStr">
        <is>
          <t>Yes</t>
        </is>
      </c>
      <c r="N221" t="inlineStr">
        <is>
          <t>Original</t>
        </is>
      </c>
      <c r="O221" t="inlineStr">
        <is>
          <t>QUALIFY</t>
        </is>
      </c>
      <c r="R221" t="inlineStr">
        <is>
          <t>No material QC issue identified.</t>
        </is>
      </c>
      <c r="S221" t="inlineStr">
        <is>
          <t>Full ER</t>
        </is>
      </c>
    </row>
    <row r="222" spans="1:19" hidden="1">
      <c r="A222" t="inlineStr">
        <is>
          <t>LOOCV1-P2-S0-T-E007</t>
        </is>
      </c>
      <c r="B222" t="inlineStr">
        <is>
          <t>LOOCV1-P2-S0-T</t>
        </is>
      </c>
      <c r="C222" t="inlineStr">
        <is>
          <t>LOOCV1</t>
        </is>
      </c>
      <c r="D222" s="56">
        <v>2025</v>
      </c>
      <c r="E222" s="56" t="inlineStr">
        <is>
          <t>P2</t>
        </is>
      </c>
      <c r="F222" t="inlineStr">
        <is>
          <t>265 Patrick Mill Circle</t>
        </is>
      </c>
      <c r="G222" t="inlineStr">
        <is>
          <t>Table</t>
        </is>
      </c>
      <c r="H222" s="62">
        <v>7</v>
      </c>
      <c r="I222">
        <v>7</v>
      </c>
      <c r="J222" s="65">
        <v>710000</v>
      </c>
      <c r="K222" s="65">
        <v>695000</v>
      </c>
      <c r="L222" s="65">
        <v>675000</v>
      </c>
      <c r="M222" s="56" t="inlineStr">
        <is>
          <t>Yes</t>
        </is>
      </c>
      <c r="N222" t="inlineStr">
        <is>
          <t>Original</t>
        </is>
      </c>
      <c r="O222" t="inlineStr">
        <is>
          <t>QUALIFY</t>
        </is>
      </c>
      <c r="R222" t="inlineStr">
        <is>
          <t>No material QC issue identified.</t>
        </is>
      </c>
      <c r="S222" t="inlineStr">
        <is>
          <t>Full ER</t>
        </is>
      </c>
    </row>
    <row r="223" spans="1:19" hidden="1">
      <c r="A223" t="inlineStr">
        <is>
          <t>LOOCV1-P2-S0-T-E008</t>
        </is>
      </c>
      <c r="B223" t="inlineStr">
        <is>
          <t>LOOCV1-P2-S0-T</t>
        </is>
      </c>
      <c r="C223" t="inlineStr">
        <is>
          <t>LOOCV1</t>
        </is>
      </c>
      <c r="D223" s="56">
        <v>2025</v>
      </c>
      <c r="E223" s="56" t="inlineStr">
        <is>
          <t>P2</t>
        </is>
      </c>
      <c r="F223" t="inlineStr">
        <is>
          <t>265 Patrick Mill Circle</t>
        </is>
      </c>
      <c r="G223" t="inlineStr">
        <is>
          <t>Table</t>
        </is>
      </c>
      <c r="I223">
        <v>8</v>
      </c>
      <c r="J223" s="65">
        <v>685000</v>
      </c>
      <c r="K223" s="65">
        <v>680000</v>
      </c>
      <c r="L223" s="65">
        <v>675000</v>
      </c>
      <c r="M223" s="56" t="inlineStr">
        <is>
          <t>No</t>
        </is>
      </c>
      <c r="N223" t="inlineStr">
        <is>
          <t>Original</t>
        </is>
      </c>
      <c r="O223" t="inlineStr">
        <is>
          <t>EXCLUDE</t>
        </is>
      </c>
      <c r="Q223">
        <v>11</v>
      </c>
      <c r="R223" t="inlineStr">
        <is>
          <t>Execution conducted in non-temporary chat; replacement execution generated under required isolation condition. Substantive QC identified no independent reasoning/evidence defect.</t>
        </is>
      </c>
      <c r="S223" t="inlineStr">
        <is>
          <t>Full ER</t>
        </is>
      </c>
    </row>
    <row r="224" spans="1:19" hidden="1">
      <c r="A224" t="inlineStr">
        <is>
          <t>LOOCV1-P2-S0-T-E009</t>
        </is>
      </c>
      <c r="B224" t="inlineStr">
        <is>
          <t>LOOCV1-P2-S0-T</t>
        </is>
      </c>
      <c r="C224" t="inlineStr">
        <is>
          <t>LOOCV1</t>
        </is>
      </c>
      <c r="D224" s="56">
        <v>2025</v>
      </c>
      <c r="E224" s="56" t="inlineStr">
        <is>
          <t>P2</t>
        </is>
      </c>
      <c r="F224" t="inlineStr">
        <is>
          <t>265 Patrick Mill Circle</t>
        </is>
      </c>
      <c r="G224" t="inlineStr">
        <is>
          <t>Table</t>
        </is>
      </c>
      <c r="H224" s="62">
        <v>8</v>
      </c>
      <c r="I224">
        <v>9</v>
      </c>
      <c r="J224" s="65">
        <v>700000</v>
      </c>
      <c r="K224" s="65">
        <v>695000</v>
      </c>
      <c r="L224" s="65">
        <v>675000</v>
      </c>
      <c r="M224" s="56" t="inlineStr">
        <is>
          <t>Yes</t>
        </is>
      </c>
      <c r="N224" t="inlineStr">
        <is>
          <t>Original</t>
        </is>
      </c>
      <c r="O224" t="inlineStr">
        <is>
          <t>QUALIFY</t>
        </is>
      </c>
      <c r="R224" t="inlineStr">
        <is>
          <t>No material QC issue identified.</t>
        </is>
      </c>
      <c r="S224" t="inlineStr">
        <is>
          <t>Full ER</t>
        </is>
      </c>
    </row>
    <row r="225" spans="1:19" hidden="1">
      <c r="A225" t="inlineStr">
        <is>
          <t>LOOCV1-P2-S0-T-E010</t>
        </is>
      </c>
      <c r="B225" t="inlineStr">
        <is>
          <t>LOOCV1-P2-S0-T</t>
        </is>
      </c>
      <c r="C225" t="inlineStr">
        <is>
          <t>LOOCV1</t>
        </is>
      </c>
      <c r="D225" s="56">
        <v>2025</v>
      </c>
      <c r="E225" s="56" t="inlineStr">
        <is>
          <t>P2</t>
        </is>
      </c>
      <c r="F225" t="inlineStr">
        <is>
          <t>265 Patrick Mill Circle</t>
        </is>
      </c>
      <c r="G225" t="inlineStr">
        <is>
          <t>Table</t>
        </is>
      </c>
      <c r="H225" s="62">
        <v>9</v>
      </c>
      <c r="I225">
        <v>10</v>
      </c>
      <c r="J225" s="65">
        <v>725000</v>
      </c>
      <c r="K225" s="65">
        <v>695000</v>
      </c>
      <c r="L225" s="65">
        <v>675000</v>
      </c>
      <c r="M225" s="56" t="inlineStr">
        <is>
          <t>Yes</t>
        </is>
      </c>
      <c r="N225" t="inlineStr">
        <is>
          <t>Original</t>
        </is>
      </c>
      <c r="O225" t="inlineStr">
        <is>
          <t>QUALIFY</t>
        </is>
      </c>
      <c r="R225" t="inlineStr">
        <is>
          <t>No material QC issue identified.</t>
        </is>
      </c>
      <c r="S225" t="inlineStr">
        <is>
          <t>Full ER</t>
        </is>
      </c>
    </row>
    <row r="226" spans="1:19" hidden="1">
      <c r="A226" t="inlineStr">
        <is>
          <t>LOOCV1-P2-S0-T-E011</t>
        </is>
      </c>
      <c r="B226" t="inlineStr">
        <is>
          <t>LOOCV1-P2-S0-T</t>
        </is>
      </c>
      <c r="C226" t="inlineStr">
        <is>
          <t>LOOCV1</t>
        </is>
      </c>
      <c r="D226" s="56">
        <v>2025</v>
      </c>
      <c r="E226" s="56" t="inlineStr">
        <is>
          <t>P2</t>
        </is>
      </c>
      <c r="F226" t="inlineStr">
        <is>
          <t>265 Patrick Mill Circle</t>
        </is>
      </c>
      <c r="G226" t="inlineStr">
        <is>
          <t>Table</t>
        </is>
      </c>
      <c r="H226" s="62">
        <v>10</v>
      </c>
      <c r="I226">
        <v>11</v>
      </c>
      <c r="J226" s="65">
        <v>715000</v>
      </c>
      <c r="K226" s="65">
        <v>695000</v>
      </c>
      <c r="L226" s="65">
        <v>675000</v>
      </c>
      <c r="M226" s="56" t="inlineStr">
        <is>
          <t>Yes</t>
        </is>
      </c>
      <c r="N226" t="inlineStr">
        <is>
          <t>Original</t>
        </is>
      </c>
      <c r="O226" t="inlineStr">
        <is>
          <t>QUALIFY</t>
        </is>
      </c>
      <c r="P226">
        <v>8</v>
      </c>
      <c r="R226" t="inlineStr">
        <is>
          <t>Replacement execution for excluded Run 8; generated under required isolation condition to restore official n=10. No material QC issue identified.</t>
        </is>
      </c>
      <c r="S226" t="inlineStr">
        <is>
          <t>Full ER</t>
        </is>
      </c>
    </row>
    <row r="227" spans="1:19" hidden="1">
      <c r="A227" t="inlineStr">
        <is>
          <t>LOOCV1-P3-S0-T-E001</t>
        </is>
      </c>
      <c r="B227" t="inlineStr">
        <is>
          <t>LOOCV1-P3-S0-T</t>
        </is>
      </c>
      <c r="C227" t="inlineStr">
        <is>
          <t>LOOCV1</t>
        </is>
      </c>
      <c r="D227" s="56">
        <v>2025</v>
      </c>
      <c r="E227" s="56" t="inlineStr">
        <is>
          <t>P3</t>
        </is>
      </c>
      <c r="F227" t="inlineStr">
        <is>
          <t>149 Seaside Circle</t>
        </is>
      </c>
      <c r="G227" t="inlineStr">
        <is>
          <t>Table</t>
        </is>
      </c>
      <c r="H227" s="62">
        <v>1</v>
      </c>
      <c r="I227">
        <v>1</v>
      </c>
      <c r="J227" s="65">
        <v>650000</v>
      </c>
      <c r="K227" s="65">
        <v>650000</v>
      </c>
      <c r="L227" s="65">
        <v>620000</v>
      </c>
      <c r="M227" s="56" t="inlineStr">
        <is>
          <t>Yes</t>
        </is>
      </c>
      <c r="N227" t="inlineStr">
        <is>
          <t>Original</t>
        </is>
      </c>
      <c r="O227" t="inlineStr">
        <is>
          <t>QUALIFY</t>
        </is>
      </c>
      <c r="R227" t="inlineStr">
        <is>
          <t>No material QC issue identified.</t>
        </is>
      </c>
      <c r="S227" t="inlineStr">
        <is>
          <t>Full ER</t>
        </is>
      </c>
    </row>
    <row r="228" spans="1:19" hidden="1">
      <c r="A228" t="inlineStr">
        <is>
          <t>LOOCV1-P3-S0-T-E002</t>
        </is>
      </c>
      <c r="B228" t="inlineStr">
        <is>
          <t>LOOCV1-P3-S0-T</t>
        </is>
      </c>
      <c r="C228" t="inlineStr">
        <is>
          <t>LOOCV1</t>
        </is>
      </c>
      <c r="D228" s="56">
        <v>2025</v>
      </c>
      <c r="E228" s="56" t="inlineStr">
        <is>
          <t>P3</t>
        </is>
      </c>
      <c r="F228" t="inlineStr">
        <is>
          <t>149 Seaside Circle</t>
        </is>
      </c>
      <c r="G228" t="inlineStr">
        <is>
          <t>Table</t>
        </is>
      </c>
      <c r="H228" s="62">
        <v>2</v>
      </c>
      <c r="I228">
        <v>2</v>
      </c>
      <c r="J228" s="65">
        <v>635000</v>
      </c>
      <c r="K228" s="65">
        <v>650000</v>
      </c>
      <c r="L228" s="65">
        <v>620000</v>
      </c>
      <c r="M228" s="56" t="inlineStr">
        <is>
          <t>Yes</t>
        </is>
      </c>
      <c r="N228" t="inlineStr">
        <is>
          <t>Original</t>
        </is>
      </c>
      <c r="O228" t="inlineStr">
        <is>
          <t>QUALIFY</t>
        </is>
      </c>
      <c r="R228" t="inlineStr">
        <is>
          <t>No material QC issue identified.</t>
        </is>
      </c>
      <c r="S228" t="inlineStr">
        <is>
          <t>Full ER</t>
        </is>
      </c>
    </row>
    <row r="229" spans="1:19" hidden="1">
      <c r="A229" t="inlineStr">
        <is>
          <t>LOOCV1-P3-S0-T-E003</t>
        </is>
      </c>
      <c r="B229" t="inlineStr">
        <is>
          <t>LOOCV1-P3-S0-T</t>
        </is>
      </c>
      <c r="C229" t="inlineStr">
        <is>
          <t>LOOCV1</t>
        </is>
      </c>
      <c r="D229" s="56">
        <v>2025</v>
      </c>
      <c r="E229" s="56" t="inlineStr">
        <is>
          <t>P3</t>
        </is>
      </c>
      <c r="F229" t="inlineStr">
        <is>
          <t>149 Seaside Circle</t>
        </is>
      </c>
      <c r="G229" t="inlineStr">
        <is>
          <t>Table</t>
        </is>
      </c>
      <c r="H229" s="62">
        <v>3</v>
      </c>
      <c r="I229">
        <v>3</v>
      </c>
      <c r="J229" s="65">
        <v>655000</v>
      </c>
      <c r="K229" s="65">
        <v>660000</v>
      </c>
      <c r="L229" s="65">
        <v>620000</v>
      </c>
      <c r="M229" s="56" t="inlineStr">
        <is>
          <t>Yes</t>
        </is>
      </c>
      <c r="N229" t="inlineStr">
        <is>
          <t>Original</t>
        </is>
      </c>
      <c r="O229" t="inlineStr">
        <is>
          <t>QUALIFY</t>
        </is>
      </c>
      <c r="R229" t="inlineStr">
        <is>
          <t>No material QC issue identified.</t>
        </is>
      </c>
      <c r="S229" t="inlineStr">
        <is>
          <t>Full ER</t>
        </is>
      </c>
    </row>
    <row r="230" spans="1:19" hidden="1">
      <c r="A230" t="inlineStr">
        <is>
          <t>LOOCV1-P3-S0-T-E004</t>
        </is>
      </c>
      <c r="B230" t="inlineStr">
        <is>
          <t>LOOCV1-P3-S0-T</t>
        </is>
      </c>
      <c r="C230" t="inlineStr">
        <is>
          <t>LOOCV1</t>
        </is>
      </c>
      <c r="D230" s="56">
        <v>2025</v>
      </c>
      <c r="E230" s="56" t="inlineStr">
        <is>
          <t>P3</t>
        </is>
      </c>
      <c r="F230" t="inlineStr">
        <is>
          <t>149 Seaside Circle</t>
        </is>
      </c>
      <c r="G230" t="inlineStr">
        <is>
          <t>Table</t>
        </is>
      </c>
      <c r="H230" s="62">
        <v>4</v>
      </c>
      <c r="I230">
        <v>4</v>
      </c>
      <c r="J230" s="65">
        <v>650000</v>
      </c>
      <c r="K230" s="65">
        <v>660000</v>
      </c>
      <c r="L230" s="65">
        <v>620000</v>
      </c>
      <c r="M230" s="56" t="inlineStr">
        <is>
          <t>Yes</t>
        </is>
      </c>
      <c r="N230" t="inlineStr">
        <is>
          <t>Original</t>
        </is>
      </c>
      <c r="O230" t="inlineStr">
        <is>
          <t>QUALIFY</t>
        </is>
      </c>
      <c r="R230" t="inlineStr">
        <is>
          <t>No material QC issue identified.</t>
        </is>
      </c>
      <c r="S230" t="inlineStr">
        <is>
          <t>Full ER</t>
        </is>
      </c>
    </row>
    <row r="231" spans="1:19" hidden="1">
      <c r="A231" t="inlineStr">
        <is>
          <t>LOOCV1-P3-S0-T-E005</t>
        </is>
      </c>
      <c r="B231" t="inlineStr">
        <is>
          <t>LOOCV1-P3-S0-T</t>
        </is>
      </c>
      <c r="C231" t="inlineStr">
        <is>
          <t>LOOCV1</t>
        </is>
      </c>
      <c r="D231" s="56">
        <v>2025</v>
      </c>
      <c r="E231" s="56" t="inlineStr">
        <is>
          <t>P3</t>
        </is>
      </c>
      <c r="F231" t="inlineStr">
        <is>
          <t>149 Seaside Circle</t>
        </is>
      </c>
      <c r="G231" t="inlineStr">
        <is>
          <t>Table</t>
        </is>
      </c>
      <c r="H231" s="62">
        <v>5</v>
      </c>
      <c r="I231">
        <v>5</v>
      </c>
      <c r="J231" s="65">
        <v>650000</v>
      </c>
      <c r="K231" s="65">
        <v>657500</v>
      </c>
      <c r="L231" s="65">
        <v>620000</v>
      </c>
      <c r="M231" s="56" t="inlineStr">
        <is>
          <t>Yes</t>
        </is>
      </c>
      <c r="N231" t="inlineStr">
        <is>
          <t>Original</t>
        </is>
      </c>
      <c r="O231" t="inlineStr">
        <is>
          <t>QUALIFY</t>
        </is>
      </c>
      <c r="R231" t="inlineStr">
        <is>
          <t>No material QC issue identified.</t>
        </is>
      </c>
      <c r="S231" t="inlineStr">
        <is>
          <t>Full ER</t>
        </is>
      </c>
    </row>
    <row r="232" spans="1:19" hidden="1">
      <c r="A232" t="inlineStr">
        <is>
          <t>LOOCV1-P3-S0-T-E006</t>
        </is>
      </c>
      <c r="B232" t="inlineStr">
        <is>
          <t>LOOCV1-P3-S0-T</t>
        </is>
      </c>
      <c r="C232" t="inlineStr">
        <is>
          <t>LOOCV1</t>
        </is>
      </c>
      <c r="D232" s="56">
        <v>2025</v>
      </c>
      <c r="E232" s="56" t="inlineStr">
        <is>
          <t>P3</t>
        </is>
      </c>
      <c r="F232" t="inlineStr">
        <is>
          <t>149 Seaside Circle</t>
        </is>
      </c>
      <c r="G232" t="inlineStr">
        <is>
          <t>Table</t>
        </is>
      </c>
      <c r="I232">
        <v>6</v>
      </c>
      <c r="J232" s="65">
        <v>635000</v>
      </c>
      <c r="K232" s="65">
        <v>650000</v>
      </c>
      <c r="L232" s="65">
        <v>620000</v>
      </c>
      <c r="M232" s="56" t="inlineStr">
        <is>
          <t>No</t>
        </is>
      </c>
      <c r="N232" t="inlineStr">
        <is>
          <t>Original</t>
        </is>
      </c>
      <c r="O232" t="inlineStr">
        <is>
          <t>EXCLUDE</t>
        </is>
      </c>
      <c r="Q232">
        <v>11</v>
      </c>
      <c r="R232" t="inlineStr">
        <is>
          <t>Execution conducted in non-temporary chat; replacement execution generated under required isolation condition. Forensic QC additionally identified a material Subject evidence-assimilation error: ER reconstructs a 2023 roof and newer windows and uses asserted capital improvements in comparative condition reasoning; authorized DSS evidence reports a 2025 roof and does not support that reconstruction.</t>
        </is>
      </c>
      <c r="S232" t="inlineStr">
        <is>
          <t>Full ER</t>
        </is>
      </c>
    </row>
    <row r="233" spans="1:19" hidden="1">
      <c r="A233" t="inlineStr">
        <is>
          <t>LOOCV1-P3-S0-T-E007</t>
        </is>
      </c>
      <c r="B233" t="inlineStr">
        <is>
          <t>LOOCV1-P3-S0-T</t>
        </is>
      </c>
      <c r="C233" t="inlineStr">
        <is>
          <t>LOOCV1</t>
        </is>
      </c>
      <c r="D233" s="56">
        <v>2025</v>
      </c>
      <c r="E233" s="56" t="inlineStr">
        <is>
          <t>P3</t>
        </is>
      </c>
      <c r="F233" t="inlineStr">
        <is>
          <t>149 Seaside Circle</t>
        </is>
      </c>
      <c r="G233" t="inlineStr">
        <is>
          <t>Table</t>
        </is>
      </c>
      <c r="H233" s="62">
        <v>6</v>
      </c>
      <c r="I233">
        <v>7</v>
      </c>
      <c r="J233" s="65">
        <v>660000</v>
      </c>
      <c r="K233" s="65">
        <v>665000</v>
      </c>
      <c r="L233" s="65">
        <v>620000</v>
      </c>
      <c r="M233" s="56" t="inlineStr">
        <is>
          <t>Yes</t>
        </is>
      </c>
      <c r="N233" t="inlineStr">
        <is>
          <t>Original</t>
        </is>
      </c>
      <c r="O233" t="inlineStr">
        <is>
          <t>QUALIFY</t>
        </is>
      </c>
      <c r="R233" t="inlineStr">
        <is>
          <t>No material QC issue identified.</t>
        </is>
      </c>
      <c r="S233" t="inlineStr">
        <is>
          <t>Full ER</t>
        </is>
      </c>
    </row>
    <row r="234" spans="1:19" hidden="1">
      <c r="A234" t="inlineStr">
        <is>
          <t>LOOCV1-P3-S0-T-E008</t>
        </is>
      </c>
      <c r="B234" t="inlineStr">
        <is>
          <t>LOOCV1-P3-S0-T</t>
        </is>
      </c>
      <c r="C234" t="inlineStr">
        <is>
          <t>LOOCV1</t>
        </is>
      </c>
      <c r="D234" s="56">
        <v>2025</v>
      </c>
      <c r="E234" s="56" t="inlineStr">
        <is>
          <t>P3</t>
        </is>
      </c>
      <c r="F234" t="inlineStr">
        <is>
          <t>149 Seaside Circle</t>
        </is>
      </c>
      <c r="G234" t="inlineStr">
        <is>
          <t>Table</t>
        </is>
      </c>
      <c r="H234" s="62">
        <v>7</v>
      </c>
      <c r="I234">
        <v>8</v>
      </c>
      <c r="J234" s="65">
        <v>635000</v>
      </c>
      <c r="K234" s="65">
        <v>650000</v>
      </c>
      <c r="L234" s="65">
        <v>620000</v>
      </c>
      <c r="M234" s="56" t="inlineStr">
        <is>
          <t>Yes</t>
        </is>
      </c>
      <c r="N234" t="inlineStr">
        <is>
          <t>Original</t>
        </is>
      </c>
      <c r="O234" t="inlineStr">
        <is>
          <t>QUALIFY</t>
        </is>
      </c>
      <c r="R234" t="inlineStr">
        <is>
          <t>No material QC issue identified.</t>
        </is>
      </c>
      <c r="S234" t="inlineStr">
        <is>
          <t>Full ER</t>
        </is>
      </c>
    </row>
    <row r="235" spans="1:19" hidden="1">
      <c r="A235" t="inlineStr">
        <is>
          <t>LOOCV1-P3-S0-T-E009</t>
        </is>
      </c>
      <c r="B235" t="inlineStr">
        <is>
          <t>LOOCV1-P3-S0-T</t>
        </is>
      </c>
      <c r="C235" t="inlineStr">
        <is>
          <t>LOOCV1</t>
        </is>
      </c>
      <c r="D235" s="56">
        <v>2025</v>
      </c>
      <c r="E235" s="56" t="inlineStr">
        <is>
          <t>P3</t>
        </is>
      </c>
      <c r="F235" t="inlineStr">
        <is>
          <t>149 Seaside Circle</t>
        </is>
      </c>
      <c r="G235" t="inlineStr">
        <is>
          <t>Table</t>
        </is>
      </c>
      <c r="H235" s="62">
        <v>8</v>
      </c>
      <c r="I235">
        <v>9</v>
      </c>
      <c r="J235" s="65">
        <v>650000</v>
      </c>
      <c r="K235" s="65">
        <v>665000</v>
      </c>
      <c r="L235" s="65">
        <v>620000</v>
      </c>
      <c r="M235" s="56" t="inlineStr">
        <is>
          <t>Yes</t>
        </is>
      </c>
      <c r="N235" t="inlineStr">
        <is>
          <t>Original</t>
        </is>
      </c>
      <c r="O235" t="inlineStr">
        <is>
          <t>QUALIFY</t>
        </is>
      </c>
      <c r="R235" t="inlineStr">
        <is>
          <t>No material QC issue identified.</t>
        </is>
      </c>
      <c r="S235" t="inlineStr">
        <is>
          <t>Full ER</t>
        </is>
      </c>
    </row>
    <row r="236" spans="1:19" hidden="1">
      <c r="A236" t="inlineStr">
        <is>
          <t>LOOCV1-P3-S0-T-E010</t>
        </is>
      </c>
      <c r="B236" t="inlineStr">
        <is>
          <t>LOOCV1-P3-S0-T</t>
        </is>
      </c>
      <c r="C236" t="inlineStr">
        <is>
          <t>LOOCV1</t>
        </is>
      </c>
      <c r="D236" s="56">
        <v>2025</v>
      </c>
      <c r="E236" s="56" t="inlineStr">
        <is>
          <t>P3</t>
        </is>
      </c>
      <c r="F236" t="inlineStr">
        <is>
          <t>149 Seaside Circle</t>
        </is>
      </c>
      <c r="G236" t="inlineStr">
        <is>
          <t>Table</t>
        </is>
      </c>
      <c r="H236" s="62">
        <v>9</v>
      </c>
      <c r="I236">
        <v>10</v>
      </c>
      <c r="J236" s="65">
        <v>635000</v>
      </c>
      <c r="K236" s="65">
        <v>655000</v>
      </c>
      <c r="L236" s="65">
        <v>620000</v>
      </c>
      <c r="M236" s="56" t="inlineStr">
        <is>
          <t>Yes</t>
        </is>
      </c>
      <c r="N236" t="inlineStr">
        <is>
          <t>Original</t>
        </is>
      </c>
      <c r="O236" t="inlineStr">
        <is>
          <t>QUALIFY</t>
        </is>
      </c>
      <c r="R236" t="inlineStr">
        <is>
          <t>No material QC issue identified.</t>
        </is>
      </c>
      <c r="S236" t="inlineStr">
        <is>
          <t>Full ER</t>
        </is>
      </c>
    </row>
    <row r="237" spans="1:19" hidden="1">
      <c r="A237" t="inlineStr">
        <is>
          <t>LOOCV1-P3-S0-T-E011</t>
        </is>
      </c>
      <c r="B237" t="inlineStr">
        <is>
          <t>LOOCV1-P3-S0-T</t>
        </is>
      </c>
      <c r="C237" t="inlineStr">
        <is>
          <t>LOOCV1</t>
        </is>
      </c>
      <c r="D237" s="56">
        <v>2025</v>
      </c>
      <c r="E237" s="56" t="inlineStr">
        <is>
          <t>P3</t>
        </is>
      </c>
      <c r="F237" t="inlineStr">
        <is>
          <t>149 Seaside Circle</t>
        </is>
      </c>
      <c r="G237" t="inlineStr">
        <is>
          <t>Table</t>
        </is>
      </c>
      <c r="H237" s="62">
        <v>10</v>
      </c>
      <c r="I237">
        <v>11</v>
      </c>
      <c r="J237" s="65">
        <v>650000</v>
      </c>
      <c r="K237" s="65">
        <v>660000</v>
      </c>
      <c r="L237" s="65">
        <v>620000</v>
      </c>
      <c r="M237" s="56" t="inlineStr">
        <is>
          <t>Yes</t>
        </is>
      </c>
      <c r="N237" t="inlineStr">
        <is>
          <t>Original</t>
        </is>
      </c>
      <c r="O237" t="inlineStr">
        <is>
          <t>QUALIFY</t>
        </is>
      </c>
      <c r="P237">
        <v>6</v>
      </c>
      <c r="R237" t="inlineStr">
        <is>
          <t>Replacement execution for excluded Run 6; generated under required isolation condition to restore official n=10. No material QC issue identified.</t>
        </is>
      </c>
      <c r="S237" t="inlineStr">
        <is>
          <t>Full ER</t>
        </is>
      </c>
    </row>
    <row r="238" spans="1:19" hidden="1">
      <c r="A238" t="inlineStr">
        <is>
          <t>LOOCV1-P5-S0-T-E001</t>
        </is>
      </c>
      <c r="B238" t="inlineStr">
        <is>
          <t>LOOCV1-P5-S0-T</t>
        </is>
      </c>
      <c r="C238" t="inlineStr">
        <is>
          <t>LOOCV1</t>
        </is>
      </c>
      <c r="D238" s="56">
        <v>2025</v>
      </c>
      <c r="E238" s="56" t="inlineStr">
        <is>
          <t>P5</t>
        </is>
      </c>
      <c r="F238" t="inlineStr">
        <is>
          <t>161 Crossroad Lakes Drive</t>
        </is>
      </c>
      <c r="G238" t="inlineStr">
        <is>
          <t>Table</t>
        </is>
      </c>
      <c r="H238" s="62">
        <v>1</v>
      </c>
      <c r="I238">
        <v>1</v>
      </c>
      <c r="J238" s="65">
        <v>885000</v>
      </c>
      <c r="K238" s="65">
        <v>895000</v>
      </c>
      <c r="L238" s="65">
        <v>910000</v>
      </c>
      <c r="M238" s="56" t="inlineStr">
        <is>
          <t>Yes</t>
        </is>
      </c>
      <c r="N238" t="inlineStr">
        <is>
          <t>Original</t>
        </is>
      </c>
      <c r="O238" t="inlineStr">
        <is>
          <t>QUALIFY</t>
        </is>
      </c>
      <c r="R238" t="inlineStr">
        <is>
          <t>No material QC issue identified.</t>
        </is>
      </c>
      <c r="S238" t="inlineStr">
        <is>
          <t>Full ER</t>
        </is>
      </c>
    </row>
    <row r="239" spans="1:19" hidden="1">
      <c r="A239" t="inlineStr">
        <is>
          <t>LOOCV1-P5-S0-T-E002</t>
        </is>
      </c>
      <c r="B239" t="inlineStr">
        <is>
          <t>LOOCV1-P5-S0-T</t>
        </is>
      </c>
      <c r="C239" t="inlineStr">
        <is>
          <t>LOOCV1</t>
        </is>
      </c>
      <c r="D239" s="56">
        <v>2025</v>
      </c>
      <c r="E239" s="56" t="inlineStr">
        <is>
          <t>P5</t>
        </is>
      </c>
      <c r="F239" t="inlineStr">
        <is>
          <t>161 Crossroad Lakes Drive</t>
        </is>
      </c>
      <c r="G239" t="inlineStr">
        <is>
          <t>Table</t>
        </is>
      </c>
      <c r="H239" s="62">
        <v>2</v>
      </c>
      <c r="I239">
        <v>2</v>
      </c>
      <c r="J239" s="65">
        <v>875000</v>
      </c>
      <c r="K239" s="65">
        <v>895000</v>
      </c>
      <c r="L239" s="65">
        <v>910000</v>
      </c>
      <c r="M239" s="56" t="inlineStr">
        <is>
          <t>Yes</t>
        </is>
      </c>
      <c r="N239" t="inlineStr">
        <is>
          <t>Original</t>
        </is>
      </c>
      <c r="O239" t="inlineStr">
        <is>
          <t>QUALIFY</t>
        </is>
      </c>
      <c r="R239" t="inlineStr">
        <is>
          <t>No material QC issue identified.</t>
        </is>
      </c>
      <c r="S239" t="inlineStr">
        <is>
          <t>Full ER</t>
        </is>
      </c>
    </row>
    <row r="240" spans="1:19" hidden="1">
      <c r="A240" t="inlineStr">
        <is>
          <t>LOOCV1-P5-S0-T-E003</t>
        </is>
      </c>
      <c r="B240" t="inlineStr">
        <is>
          <t>LOOCV1-P5-S0-T</t>
        </is>
      </c>
      <c r="C240" t="inlineStr">
        <is>
          <t>LOOCV1</t>
        </is>
      </c>
      <c r="D240" s="56">
        <v>2025</v>
      </c>
      <c r="E240" s="56" t="inlineStr">
        <is>
          <t>P5</t>
        </is>
      </c>
      <c r="F240" t="inlineStr">
        <is>
          <t>161 Crossroad Lakes Drive</t>
        </is>
      </c>
      <c r="G240" t="inlineStr">
        <is>
          <t>Table</t>
        </is>
      </c>
      <c r="H240" s="62">
        <v>3</v>
      </c>
      <c r="I240">
        <v>3</v>
      </c>
      <c r="J240" s="65">
        <v>875000</v>
      </c>
      <c r="K240" s="65">
        <v>900000</v>
      </c>
      <c r="L240" s="65">
        <v>910000</v>
      </c>
      <c r="M240" s="56" t="inlineStr">
        <is>
          <t>Yes</t>
        </is>
      </c>
      <c r="N240" t="inlineStr">
        <is>
          <t>Original</t>
        </is>
      </c>
      <c r="O240" t="inlineStr">
        <is>
          <t>QUALIFY</t>
        </is>
      </c>
      <c r="R240" t="inlineStr">
        <is>
          <t>No material QC issue identified.</t>
        </is>
      </c>
      <c r="S240" t="inlineStr">
        <is>
          <t>Full ER</t>
        </is>
      </c>
    </row>
    <row r="241" spans="1:19" hidden="1">
      <c r="A241" t="inlineStr">
        <is>
          <t>LOOCV1-P5-S0-T-E004</t>
        </is>
      </c>
      <c r="B241" t="inlineStr">
        <is>
          <t>LOOCV1-P5-S0-T</t>
        </is>
      </c>
      <c r="C241" t="inlineStr">
        <is>
          <t>LOOCV1</t>
        </is>
      </c>
      <c r="D241" s="56">
        <v>2025</v>
      </c>
      <c r="E241" s="56" t="inlineStr">
        <is>
          <t>P5</t>
        </is>
      </c>
      <c r="F241" t="inlineStr">
        <is>
          <t>161 Crossroad Lakes Drive</t>
        </is>
      </c>
      <c r="G241" t="inlineStr">
        <is>
          <t>Table</t>
        </is>
      </c>
      <c r="I241">
        <v>4</v>
      </c>
      <c r="J241" s="65">
        <v>610000</v>
      </c>
      <c r="K241" s="65">
        <v>600000</v>
      </c>
      <c r="L241" s="65">
        <v>910000</v>
      </c>
      <c r="M241" s="56" t="inlineStr">
        <is>
          <t>No</t>
        </is>
      </c>
      <c r="N241" t="inlineStr">
        <is>
          <t>Original</t>
        </is>
      </c>
      <c r="O241" t="inlineStr">
        <is>
          <t>EXCLUDE</t>
        </is>
      </c>
      <c r="Q241">
        <v>12</v>
      </c>
      <c r="R241" t="inlineStr">
        <is>
          <t>Wrong experimental condition. Execution reconstructs and values P6 / 144 Crosstide Circle rather than the designated P5 / 161 Crossroad Lakes Drive held-out property, materially substituting the wrong Subject and evidence condition.</t>
        </is>
      </c>
      <c r="S241" t="inlineStr">
        <is>
          <t>Full ER</t>
        </is>
      </c>
    </row>
    <row r="242" spans="1:19" hidden="1">
      <c r="A242" t="inlineStr">
        <is>
          <t>LOOCV1-P5-S0-T-E005</t>
        </is>
      </c>
      <c r="B242" t="inlineStr">
        <is>
          <t>LOOCV1-P5-S0-T</t>
        </is>
      </c>
      <c r="C242" t="inlineStr">
        <is>
          <t>LOOCV1</t>
        </is>
      </c>
      <c r="D242" s="56">
        <v>2025</v>
      </c>
      <c r="E242" s="56" t="inlineStr">
        <is>
          <t>P5</t>
        </is>
      </c>
      <c r="F242" t="inlineStr">
        <is>
          <t>161 Crossroad Lakes Drive</t>
        </is>
      </c>
      <c r="G242" t="inlineStr">
        <is>
          <t>Table</t>
        </is>
      </c>
      <c r="H242" s="62">
        <v>4</v>
      </c>
      <c r="I242">
        <v>5</v>
      </c>
      <c r="J242" s="65">
        <v>900000</v>
      </c>
      <c r="K242" s="65">
        <v>910000</v>
      </c>
      <c r="L242" s="65">
        <v>910000</v>
      </c>
      <c r="M242" s="56" t="inlineStr">
        <is>
          <t>Yes</t>
        </is>
      </c>
      <c r="N242" t="inlineStr">
        <is>
          <t>Original</t>
        </is>
      </c>
      <c r="O242" t="inlineStr">
        <is>
          <t>QUALIFY</t>
        </is>
      </c>
      <c r="R242" t="inlineStr">
        <is>
          <t>No material QC issue identified.</t>
        </is>
      </c>
      <c r="S242" t="inlineStr">
        <is>
          <t>Full ER</t>
        </is>
      </c>
    </row>
    <row r="243" spans="1:19" hidden="1">
      <c r="A243" t="inlineStr">
        <is>
          <t>LOOCV1-P5-S0-T-E006</t>
        </is>
      </c>
      <c r="B243" t="inlineStr">
        <is>
          <t>LOOCV1-P5-S0-T</t>
        </is>
      </c>
      <c r="C243" t="inlineStr">
        <is>
          <t>LOOCV1</t>
        </is>
      </c>
      <c r="D243" s="56">
        <v>2025</v>
      </c>
      <c r="E243" s="56" t="inlineStr">
        <is>
          <t>P5</t>
        </is>
      </c>
      <c r="F243" t="inlineStr">
        <is>
          <t>161 Crossroad Lakes Drive</t>
        </is>
      </c>
      <c r="G243" t="inlineStr">
        <is>
          <t>Table</t>
        </is>
      </c>
      <c r="H243" s="62">
        <v>5</v>
      </c>
      <c r="I243">
        <v>6</v>
      </c>
      <c r="J243" s="65">
        <v>900000</v>
      </c>
      <c r="K243" s="65">
        <v>910000</v>
      </c>
      <c r="L243" s="65">
        <v>910000</v>
      </c>
      <c r="M243" s="56" t="inlineStr">
        <is>
          <t>Yes</t>
        </is>
      </c>
      <c r="N243" t="inlineStr">
        <is>
          <t>Original</t>
        </is>
      </c>
      <c r="O243" t="inlineStr">
        <is>
          <t>QUALIFY</t>
        </is>
      </c>
      <c r="R243" t="inlineStr">
        <is>
          <t>No material QC issue identified.</t>
        </is>
      </c>
      <c r="S243" t="inlineStr">
        <is>
          <t>Full ER</t>
        </is>
      </c>
    </row>
    <row r="244" spans="1:19" hidden="1">
      <c r="A244" t="inlineStr">
        <is>
          <t>LOOCV1-P5-S0-T-E007</t>
        </is>
      </c>
      <c r="B244" t="inlineStr">
        <is>
          <t>LOOCV1-P5-S0-T</t>
        </is>
      </c>
      <c r="C244" t="inlineStr">
        <is>
          <t>LOOCV1</t>
        </is>
      </c>
      <c r="D244" s="56">
        <v>2025</v>
      </c>
      <c r="E244" s="56" t="inlineStr">
        <is>
          <t>P5</t>
        </is>
      </c>
      <c r="F244" t="inlineStr">
        <is>
          <t>161 Crossroad Lakes Drive</t>
        </is>
      </c>
      <c r="G244" t="inlineStr">
        <is>
          <t>Table</t>
        </is>
      </c>
      <c r="H244" s="62">
        <v>6</v>
      </c>
      <c r="I244">
        <v>7</v>
      </c>
      <c r="J244" s="65">
        <v>880000</v>
      </c>
      <c r="K244" s="65">
        <v>900000</v>
      </c>
      <c r="L244" s="65">
        <v>910000</v>
      </c>
      <c r="M244" s="56" t="inlineStr">
        <is>
          <t>Yes</t>
        </is>
      </c>
      <c r="N244" t="inlineStr">
        <is>
          <t>Original</t>
        </is>
      </c>
      <c r="O244" t="inlineStr">
        <is>
          <t>QUALIFY</t>
        </is>
      </c>
      <c r="R244" t="inlineStr">
        <is>
          <t>No material QC issue identified.</t>
        </is>
      </c>
      <c r="S244" t="inlineStr">
        <is>
          <t>Full ER</t>
        </is>
      </c>
    </row>
    <row r="245" spans="1:19" hidden="1">
      <c r="A245" t="inlineStr">
        <is>
          <t>LOOCV1-P5-S0-T-E008</t>
        </is>
      </c>
      <c r="B245" t="inlineStr">
        <is>
          <t>LOOCV1-P5-S0-T</t>
        </is>
      </c>
      <c r="C245" t="inlineStr">
        <is>
          <t>LOOCV1</t>
        </is>
      </c>
      <c r="D245" s="56">
        <v>2025</v>
      </c>
      <c r="E245" s="56" t="inlineStr">
        <is>
          <t>P5</t>
        </is>
      </c>
      <c r="F245" t="inlineStr">
        <is>
          <t>161 Crossroad Lakes Drive</t>
        </is>
      </c>
      <c r="G245" t="inlineStr">
        <is>
          <t>Table</t>
        </is>
      </c>
      <c r="I245">
        <v>8</v>
      </c>
      <c r="J245" s="65">
        <v>875000</v>
      </c>
      <c r="K245" s="65">
        <v>890000</v>
      </c>
      <c r="L245" s="65">
        <v>910000</v>
      </c>
      <c r="M245" s="56" t="inlineStr">
        <is>
          <t>No</t>
        </is>
      </c>
      <c r="N245" t="inlineStr">
        <is>
          <t>Original</t>
        </is>
      </c>
      <c r="O245" t="inlineStr">
        <is>
          <t>EXCLUDE</t>
        </is>
      </c>
      <c r="Q245">
        <v>11</v>
      </c>
      <c r="R245" t="inlineStr">
        <is>
          <t>Execution conducted in non-temporary chat; replacement execution generated under required isolation condition. Substantive QC identified no independent reasoning/evidence defect.</t>
        </is>
      </c>
      <c r="S245" t="inlineStr">
        <is>
          <t>Full ER</t>
        </is>
      </c>
    </row>
    <row r="246" spans="1:19" hidden="1">
      <c r="A246" t="inlineStr">
        <is>
          <t>LOOCV1-P5-S0-T-E009</t>
        </is>
      </c>
      <c r="B246" t="inlineStr">
        <is>
          <t>LOOCV1-P5-S0-T</t>
        </is>
      </c>
      <c r="C246" t="inlineStr">
        <is>
          <t>LOOCV1</t>
        </is>
      </c>
      <c r="D246" s="56">
        <v>2025</v>
      </c>
      <c r="E246" s="56" t="inlineStr">
        <is>
          <t>P5</t>
        </is>
      </c>
      <c r="F246" t="inlineStr">
        <is>
          <t>161 Crossroad Lakes Drive</t>
        </is>
      </c>
      <c r="G246" t="inlineStr">
        <is>
          <t>Table</t>
        </is>
      </c>
      <c r="H246" s="62">
        <v>7</v>
      </c>
      <c r="I246">
        <v>9</v>
      </c>
      <c r="J246" s="65">
        <v>890000</v>
      </c>
      <c r="K246" s="65">
        <v>905000</v>
      </c>
      <c r="L246" s="65">
        <v>910000</v>
      </c>
      <c r="M246" s="56" t="inlineStr">
        <is>
          <t>Yes</t>
        </is>
      </c>
      <c r="N246" t="inlineStr">
        <is>
          <t>Original</t>
        </is>
      </c>
      <c r="O246" t="inlineStr">
        <is>
          <t>QUALIFY</t>
        </is>
      </c>
      <c r="R246" t="inlineStr">
        <is>
          <t>No material QC issue identified.</t>
        </is>
      </c>
      <c r="S246" t="inlineStr">
        <is>
          <t>Full ER</t>
        </is>
      </c>
    </row>
    <row r="247" spans="1:19" hidden="1">
      <c r="A247" t="inlineStr">
        <is>
          <t>LOOCV1-P5-S0-T-E010</t>
        </is>
      </c>
      <c r="B247" t="inlineStr">
        <is>
          <t>LOOCV1-P5-S0-T</t>
        </is>
      </c>
      <c r="C247" t="inlineStr">
        <is>
          <t>LOOCV1</t>
        </is>
      </c>
      <c r="D247" s="56">
        <v>2025</v>
      </c>
      <c r="E247" s="56" t="inlineStr">
        <is>
          <t>P5</t>
        </is>
      </c>
      <c r="F247" t="inlineStr">
        <is>
          <t>161 Crossroad Lakes Drive</t>
        </is>
      </c>
      <c r="G247" t="inlineStr">
        <is>
          <t>Table</t>
        </is>
      </c>
      <c r="H247" s="62">
        <v>8</v>
      </c>
      <c r="I247">
        <v>10</v>
      </c>
      <c r="J247" s="65">
        <v>900000</v>
      </c>
      <c r="K247" s="65">
        <v>910000</v>
      </c>
      <c r="L247" s="65">
        <v>910000</v>
      </c>
      <c r="M247" s="56" t="inlineStr">
        <is>
          <t>Yes</t>
        </is>
      </c>
      <c r="N247" t="inlineStr">
        <is>
          <t>Original</t>
        </is>
      </c>
      <c r="O247" t="inlineStr">
        <is>
          <t>QUALIFY</t>
        </is>
      </c>
      <c r="R247" t="inlineStr">
        <is>
          <t>No material QC issue identified.</t>
        </is>
      </c>
      <c r="S247" t="inlineStr">
        <is>
          <t>Full ER</t>
        </is>
      </c>
    </row>
    <row r="248" spans="1:19" hidden="1">
      <c r="A248" t="inlineStr">
        <is>
          <t>LOOCV1-P5-S0-T-E011</t>
        </is>
      </c>
      <c r="B248" t="inlineStr">
        <is>
          <t>LOOCV1-P5-S0-T</t>
        </is>
      </c>
      <c r="C248" t="inlineStr">
        <is>
          <t>LOOCV1</t>
        </is>
      </c>
      <c r="D248" s="56">
        <v>2025</v>
      </c>
      <c r="E248" s="56" t="inlineStr">
        <is>
          <t>P5</t>
        </is>
      </c>
      <c r="F248" t="inlineStr">
        <is>
          <t>161 Crossroad Lakes Drive</t>
        </is>
      </c>
      <c r="G248" t="inlineStr">
        <is>
          <t>Table</t>
        </is>
      </c>
      <c r="H248" s="62">
        <v>9</v>
      </c>
      <c r="I248">
        <v>11</v>
      </c>
      <c r="J248" s="65">
        <v>900000</v>
      </c>
      <c r="K248" s="65">
        <v>905000</v>
      </c>
      <c r="L248" s="65">
        <v>910000</v>
      </c>
      <c r="M248" s="56" t="inlineStr">
        <is>
          <t>Yes</t>
        </is>
      </c>
      <c r="N248" t="inlineStr">
        <is>
          <t>Original</t>
        </is>
      </c>
      <c r="O248" t="inlineStr">
        <is>
          <t>QUALIFY</t>
        </is>
      </c>
      <c r="P248">
        <v>8</v>
      </c>
      <c r="R248" t="inlineStr">
        <is>
          <t>Replacement execution for excluded Run 8; generated under required isolation condition to restore the official population. No material QC issue identified.</t>
        </is>
      </c>
      <c r="S248" t="inlineStr">
        <is>
          <t>Full ER</t>
        </is>
      </c>
    </row>
    <row r="249" spans="1:19" hidden="1">
      <c r="A249" t="inlineStr">
        <is>
          <t>LOOCV1-P5-S0-T-E012</t>
        </is>
      </c>
      <c r="B249" t="inlineStr">
        <is>
          <t>LOOCV1-P5-S0-T</t>
        </is>
      </c>
      <c r="C249" t="inlineStr">
        <is>
          <t>LOOCV1</t>
        </is>
      </c>
      <c r="D249" s="56">
        <v>2025</v>
      </c>
      <c r="E249" s="56" t="inlineStr">
        <is>
          <t>P5</t>
        </is>
      </c>
      <c r="F249" t="inlineStr">
        <is>
          <t>161 Crossroad Lakes Drive</t>
        </is>
      </c>
      <c r="G249" t="inlineStr">
        <is>
          <t>Table</t>
        </is>
      </c>
      <c r="H249" s="62">
        <v>10</v>
      </c>
      <c r="I249">
        <v>12</v>
      </c>
      <c r="J249" s="65">
        <v>900000</v>
      </c>
      <c r="K249" s="65">
        <v>900000</v>
      </c>
      <c r="L249" s="65">
        <v>910000</v>
      </c>
      <c r="M249" s="56" t="inlineStr">
        <is>
          <t>Yes</t>
        </is>
      </c>
      <c r="N249" t="inlineStr">
        <is>
          <t>Original</t>
        </is>
      </c>
      <c r="O249" t="inlineStr">
        <is>
          <t>QUALIFY</t>
        </is>
      </c>
      <c r="P249">
        <v>4</v>
      </c>
      <c r="R249" t="inlineStr">
        <is>
          <t>Replacement execution for excluded Run 4; generated to restore official n=10 after Run 4 materially substituted the P6 held-out property/evidence condition for P5. No material QC issue identified.</t>
        </is>
      </c>
      <c r="S249" t="inlineStr">
        <is>
          <t>Full ER</t>
        </is>
      </c>
    </row>
    <row r="250" spans="1:19" hidden="1">
      <c r="A250" t="inlineStr">
        <is>
          <t>LOOCV1-P6-S0-T-E001</t>
        </is>
      </c>
      <c r="B250" t="inlineStr">
        <is>
          <t>LOOCV1-P6-S0-T</t>
        </is>
      </c>
      <c r="C250" t="inlineStr">
        <is>
          <t>LOOCV1</t>
        </is>
      </c>
      <c r="D250" s="56">
        <v>2025</v>
      </c>
      <c r="E250" s="56" t="inlineStr">
        <is>
          <t>P6</t>
        </is>
      </c>
      <c r="F250" t="inlineStr">
        <is>
          <t>144 Crosstide Circle</t>
        </is>
      </c>
      <c r="G250" t="inlineStr">
        <is>
          <t>Table</t>
        </is>
      </c>
      <c r="H250" s="62">
        <v>1</v>
      </c>
      <c r="I250">
        <v>1</v>
      </c>
      <c r="J250" s="65">
        <v>625000</v>
      </c>
      <c r="K250" s="65">
        <v>610000</v>
      </c>
      <c r="L250" s="65">
        <v>580000</v>
      </c>
      <c r="M250" s="56" t="inlineStr">
        <is>
          <t>Yes</t>
        </is>
      </c>
      <c r="N250" t="inlineStr">
        <is>
          <t>Original</t>
        </is>
      </c>
      <c r="O250" t="inlineStr">
        <is>
          <t>QUALIFY</t>
        </is>
      </c>
      <c r="R250" t="inlineStr">
        <is>
          <t>No material QC issue identified.</t>
        </is>
      </c>
      <c r="S250" t="inlineStr">
        <is>
          <t>Full ER</t>
        </is>
      </c>
    </row>
    <row r="251" spans="1:19" hidden="1">
      <c r="A251" t="inlineStr">
        <is>
          <t>LOOCV1-P6-S0-T-E002</t>
        </is>
      </c>
      <c r="B251" t="inlineStr">
        <is>
          <t>LOOCV1-P6-S0-T</t>
        </is>
      </c>
      <c r="C251" t="inlineStr">
        <is>
          <t>LOOCV1</t>
        </is>
      </c>
      <c r="D251" s="56">
        <v>2025</v>
      </c>
      <c r="E251" s="56" t="inlineStr">
        <is>
          <t>P6</t>
        </is>
      </c>
      <c r="F251" t="inlineStr">
        <is>
          <t>144 Crosstide Circle</t>
        </is>
      </c>
      <c r="G251" t="inlineStr">
        <is>
          <t>Table</t>
        </is>
      </c>
      <c r="H251" s="62">
        <v>2</v>
      </c>
      <c r="I251">
        <v>2</v>
      </c>
      <c r="J251" s="65">
        <v>635000</v>
      </c>
      <c r="K251" s="65">
        <v>615000</v>
      </c>
      <c r="L251" s="65">
        <v>580000</v>
      </c>
      <c r="M251" s="56" t="inlineStr">
        <is>
          <t>Yes</t>
        </is>
      </c>
      <c r="N251" t="inlineStr">
        <is>
          <t>Original</t>
        </is>
      </c>
      <c r="O251" t="inlineStr">
        <is>
          <t>QUALIFY</t>
        </is>
      </c>
      <c r="R251" t="inlineStr">
        <is>
          <t>No material QC issue identified.</t>
        </is>
      </c>
      <c r="S251" t="inlineStr">
        <is>
          <t>Full ER</t>
        </is>
      </c>
    </row>
    <row r="252" spans="1:19" hidden="1">
      <c r="A252" t="inlineStr">
        <is>
          <t>LOOCV1-P6-S0-T-E003</t>
        </is>
      </c>
      <c r="B252" t="inlineStr">
        <is>
          <t>LOOCV1-P6-S0-T</t>
        </is>
      </c>
      <c r="C252" t="inlineStr">
        <is>
          <t>LOOCV1</t>
        </is>
      </c>
      <c r="D252" s="56">
        <v>2025</v>
      </c>
      <c r="E252" s="56" t="inlineStr">
        <is>
          <t>P6</t>
        </is>
      </c>
      <c r="F252" t="inlineStr">
        <is>
          <t>144 Crosstide Circle</t>
        </is>
      </c>
      <c r="G252" t="inlineStr">
        <is>
          <t>Table</t>
        </is>
      </c>
      <c r="H252" s="62">
        <v>3</v>
      </c>
      <c r="I252">
        <v>3</v>
      </c>
      <c r="J252" s="65">
        <v>625000</v>
      </c>
      <c r="K252" s="65">
        <v>610000</v>
      </c>
      <c r="L252" s="65">
        <v>580000</v>
      </c>
      <c r="M252" s="56" t="inlineStr">
        <is>
          <t>Yes</t>
        </is>
      </c>
      <c r="N252" t="inlineStr">
        <is>
          <t>Original</t>
        </is>
      </c>
      <c r="O252" t="inlineStr">
        <is>
          <t>QUALIFY</t>
        </is>
      </c>
      <c r="R252" t="inlineStr">
        <is>
          <t>No material QC issue identified.</t>
        </is>
      </c>
      <c r="S252" t="inlineStr">
        <is>
          <t>Full ER</t>
        </is>
      </c>
    </row>
    <row r="253" spans="1:19" hidden="1">
      <c r="A253" t="inlineStr">
        <is>
          <t>LOOCV1-P6-S0-T-E004</t>
        </is>
      </c>
      <c r="B253" t="inlineStr">
        <is>
          <t>LOOCV1-P6-S0-T</t>
        </is>
      </c>
      <c r="C253" t="inlineStr">
        <is>
          <t>LOOCV1</t>
        </is>
      </c>
      <c r="D253" s="56">
        <v>2025</v>
      </c>
      <c r="E253" s="56" t="inlineStr">
        <is>
          <t>P6</t>
        </is>
      </c>
      <c r="F253" t="inlineStr">
        <is>
          <t>144 Crosstide Circle</t>
        </is>
      </c>
      <c r="G253" t="inlineStr">
        <is>
          <t>Table</t>
        </is>
      </c>
      <c r="H253" s="62">
        <v>4</v>
      </c>
      <c r="I253">
        <v>4</v>
      </c>
      <c r="J253" s="65">
        <v>625000</v>
      </c>
      <c r="K253" s="65">
        <v>610000</v>
      </c>
      <c r="L253" s="65">
        <v>580000</v>
      </c>
      <c r="M253" s="56" t="inlineStr">
        <is>
          <t>Yes</t>
        </is>
      </c>
      <c r="N253" t="inlineStr">
        <is>
          <t>Original</t>
        </is>
      </c>
      <c r="O253" t="inlineStr">
        <is>
          <t>QUALIFY</t>
        </is>
      </c>
      <c r="R253" t="inlineStr">
        <is>
          <t>No material QC issue identified.</t>
        </is>
      </c>
      <c r="S253" t="inlineStr">
        <is>
          <t>Full ER</t>
        </is>
      </c>
    </row>
    <row r="254" spans="1:19" hidden="1">
      <c r="A254" t="inlineStr">
        <is>
          <t>LOOCV1-P6-S0-T-E005</t>
        </is>
      </c>
      <c r="B254" t="inlineStr">
        <is>
          <t>LOOCV1-P6-S0-T</t>
        </is>
      </c>
      <c r="C254" t="inlineStr">
        <is>
          <t>LOOCV1</t>
        </is>
      </c>
      <c r="D254" s="56">
        <v>2025</v>
      </c>
      <c r="E254" s="56" t="inlineStr">
        <is>
          <t>P6</t>
        </is>
      </c>
      <c r="F254" t="inlineStr">
        <is>
          <t>144 Crosstide Circle</t>
        </is>
      </c>
      <c r="G254" t="inlineStr">
        <is>
          <t>Table</t>
        </is>
      </c>
      <c r="H254" s="62">
        <v>5</v>
      </c>
      <c r="I254">
        <v>5</v>
      </c>
      <c r="J254" s="65">
        <v>625000</v>
      </c>
      <c r="K254" s="65">
        <v>605000</v>
      </c>
      <c r="L254" s="65">
        <v>580000</v>
      </c>
      <c r="M254" s="56" t="inlineStr">
        <is>
          <t>Yes</t>
        </is>
      </c>
      <c r="N254" t="inlineStr">
        <is>
          <t>Original</t>
        </is>
      </c>
      <c r="O254" t="inlineStr">
        <is>
          <t>QUALIFY</t>
        </is>
      </c>
      <c r="R254" t="inlineStr">
        <is>
          <t>No material QC issue identified.</t>
        </is>
      </c>
      <c r="S254" t="inlineStr">
        <is>
          <t>Full ER</t>
        </is>
      </c>
    </row>
    <row r="255" spans="1:19" hidden="1">
      <c r="A255" t="inlineStr">
        <is>
          <t>LOOCV1-P6-S0-T-E006</t>
        </is>
      </c>
      <c r="B255" t="inlineStr">
        <is>
          <t>LOOCV1-P6-S0-T</t>
        </is>
      </c>
      <c r="C255" t="inlineStr">
        <is>
          <t>LOOCV1</t>
        </is>
      </c>
      <c r="D255" s="56">
        <v>2025</v>
      </c>
      <c r="E255" s="56" t="inlineStr">
        <is>
          <t>P6</t>
        </is>
      </c>
      <c r="F255" t="inlineStr">
        <is>
          <t>144 Crosstide Circle</t>
        </is>
      </c>
      <c r="G255" t="inlineStr">
        <is>
          <t>Table</t>
        </is>
      </c>
      <c r="I255">
        <v>6</v>
      </c>
      <c r="J255" s="65">
        <v>625000</v>
      </c>
      <c r="K255" s="65">
        <v>610000</v>
      </c>
      <c r="L255" s="65">
        <v>580000</v>
      </c>
      <c r="M255" s="56" t="inlineStr">
        <is>
          <t>No</t>
        </is>
      </c>
      <c r="N255" t="inlineStr">
        <is>
          <t>Original</t>
        </is>
      </c>
      <c r="O255" t="inlineStr">
        <is>
          <t>EXCLUDE</t>
        </is>
      </c>
      <c r="Q255">
        <v>11</v>
      </c>
      <c r="R255" t="inlineStr">
        <is>
          <t>Execution conducted in non-temporary chat; replacement execution generated under required isolation condition. Substantive QC identified no independent reasoning/evidence defect.</t>
        </is>
      </c>
      <c r="S255" t="inlineStr">
        <is>
          <t>Full ER</t>
        </is>
      </c>
    </row>
    <row r="256" spans="1:19" hidden="1">
      <c r="A256" t="inlineStr">
        <is>
          <t>LOOCV1-P6-S0-T-E007</t>
        </is>
      </c>
      <c r="B256" t="inlineStr">
        <is>
          <t>LOOCV1-P6-S0-T</t>
        </is>
      </c>
      <c r="C256" t="inlineStr">
        <is>
          <t>LOOCV1</t>
        </is>
      </c>
      <c r="D256" s="56">
        <v>2025</v>
      </c>
      <c r="E256" s="56" t="inlineStr">
        <is>
          <t>P6</t>
        </is>
      </c>
      <c r="F256" t="inlineStr">
        <is>
          <t>144 Crosstide Circle</t>
        </is>
      </c>
      <c r="G256" t="inlineStr">
        <is>
          <t>Table</t>
        </is>
      </c>
      <c r="H256" s="62">
        <v>6</v>
      </c>
      <c r="I256">
        <v>7</v>
      </c>
      <c r="J256" s="65">
        <v>625000</v>
      </c>
      <c r="K256" s="65">
        <v>610000</v>
      </c>
      <c r="L256" s="65">
        <v>580000</v>
      </c>
      <c r="M256" s="56" t="inlineStr">
        <is>
          <t>Yes</t>
        </is>
      </c>
      <c r="N256" t="inlineStr">
        <is>
          <t>Original</t>
        </is>
      </c>
      <c r="O256" t="inlineStr">
        <is>
          <t>QUALIFY</t>
        </is>
      </c>
      <c r="R256" t="inlineStr">
        <is>
          <t>No material QC issue identified.</t>
        </is>
      </c>
      <c r="S256" t="inlineStr">
        <is>
          <t>Full ER</t>
        </is>
      </c>
    </row>
    <row r="257" spans="1:19" hidden="1">
      <c r="A257" t="inlineStr">
        <is>
          <t>LOOCV1-P6-S0-T-E008</t>
        </is>
      </c>
      <c r="B257" t="inlineStr">
        <is>
          <t>LOOCV1-P6-S0-T</t>
        </is>
      </c>
      <c r="C257" t="inlineStr">
        <is>
          <t>LOOCV1</t>
        </is>
      </c>
      <c r="D257" s="56">
        <v>2025</v>
      </c>
      <c r="E257" s="56" t="inlineStr">
        <is>
          <t>P6</t>
        </is>
      </c>
      <c r="F257" t="inlineStr">
        <is>
          <t>144 Crosstide Circle</t>
        </is>
      </c>
      <c r="G257" t="inlineStr">
        <is>
          <t>Table</t>
        </is>
      </c>
      <c r="H257" s="62">
        <v>7</v>
      </c>
      <c r="I257">
        <v>8</v>
      </c>
      <c r="J257" s="65">
        <v>625000</v>
      </c>
      <c r="K257" s="65">
        <v>615000</v>
      </c>
      <c r="L257" s="65">
        <v>580000</v>
      </c>
      <c r="M257" s="56" t="inlineStr">
        <is>
          <t>Yes</t>
        </is>
      </c>
      <c r="N257" t="inlineStr">
        <is>
          <t>Original</t>
        </is>
      </c>
      <c r="O257" t="inlineStr">
        <is>
          <t>QUALIFY</t>
        </is>
      </c>
      <c r="R257" t="inlineStr">
        <is>
          <t>No material QC issue identified.</t>
        </is>
      </c>
      <c r="S257" t="inlineStr">
        <is>
          <t>Full ER</t>
        </is>
      </c>
    </row>
    <row r="258" spans="1:19" hidden="1">
      <c r="A258" t="inlineStr">
        <is>
          <t>LOOCV1-P6-S0-T-E009</t>
        </is>
      </c>
      <c r="B258" t="inlineStr">
        <is>
          <t>LOOCV1-P6-S0-T</t>
        </is>
      </c>
      <c r="C258" t="inlineStr">
        <is>
          <t>LOOCV1</t>
        </is>
      </c>
      <c r="D258" s="56">
        <v>2025</v>
      </c>
      <c r="E258" s="56" t="inlineStr">
        <is>
          <t>P6</t>
        </is>
      </c>
      <c r="F258" t="inlineStr">
        <is>
          <t>144 Crosstide Circle</t>
        </is>
      </c>
      <c r="G258" t="inlineStr">
        <is>
          <t>Table</t>
        </is>
      </c>
      <c r="H258" s="62">
        <v>8</v>
      </c>
      <c r="I258">
        <v>9</v>
      </c>
      <c r="J258" s="65">
        <v>615000</v>
      </c>
      <c r="K258" s="65">
        <v>600000</v>
      </c>
      <c r="L258" s="65">
        <v>580000</v>
      </c>
      <c r="M258" s="56" t="inlineStr">
        <is>
          <t>Yes</t>
        </is>
      </c>
      <c r="N258" t="inlineStr">
        <is>
          <t>Original</t>
        </is>
      </c>
      <c r="O258" t="inlineStr">
        <is>
          <t>QUALIFY</t>
        </is>
      </c>
      <c r="R258" t="inlineStr">
        <is>
          <t>No material QC issue identified.</t>
        </is>
      </c>
      <c r="S258" t="inlineStr">
        <is>
          <t>Full ER</t>
        </is>
      </c>
    </row>
    <row r="259" spans="1:19" hidden="1">
      <c r="A259" t="inlineStr">
        <is>
          <t>LOOCV1-P6-S0-T-E010</t>
        </is>
      </c>
      <c r="B259" t="inlineStr">
        <is>
          <t>LOOCV1-P6-S0-T</t>
        </is>
      </c>
      <c r="C259" t="inlineStr">
        <is>
          <t>LOOCV1</t>
        </is>
      </c>
      <c r="D259" s="56">
        <v>2025</v>
      </c>
      <c r="E259" s="56" t="inlineStr">
        <is>
          <t>P6</t>
        </is>
      </c>
      <c r="F259" t="inlineStr">
        <is>
          <t>144 Crosstide Circle</t>
        </is>
      </c>
      <c r="G259" t="inlineStr">
        <is>
          <t>Table</t>
        </is>
      </c>
      <c r="H259" s="62">
        <v>9</v>
      </c>
      <c r="I259">
        <v>10</v>
      </c>
      <c r="J259" s="65">
        <v>640000</v>
      </c>
      <c r="K259" s="65">
        <v>615000</v>
      </c>
      <c r="L259" s="65">
        <v>580000</v>
      </c>
      <c r="M259" s="56" t="inlineStr">
        <is>
          <t>Yes</t>
        </is>
      </c>
      <c r="N259" t="inlineStr">
        <is>
          <t>Original</t>
        </is>
      </c>
      <c r="O259" t="inlineStr">
        <is>
          <t>QUALIFY</t>
        </is>
      </c>
      <c r="R259" t="inlineStr">
        <is>
          <t>No material QC issue identified.</t>
        </is>
      </c>
      <c r="S259" t="inlineStr">
        <is>
          <t>Full ER</t>
        </is>
      </c>
    </row>
    <row r="260" spans="1:19" hidden="1">
      <c r="A260" t="inlineStr">
        <is>
          <t>LOOCV1-P6-S0-T-E011</t>
        </is>
      </c>
      <c r="B260" t="inlineStr">
        <is>
          <t>LOOCV1-P6-S0-T</t>
        </is>
      </c>
      <c r="C260" t="inlineStr">
        <is>
          <t>LOOCV1</t>
        </is>
      </c>
      <c r="D260" s="56">
        <v>2025</v>
      </c>
      <c r="E260" s="56" t="inlineStr">
        <is>
          <t>P6</t>
        </is>
      </c>
      <c r="F260" t="inlineStr">
        <is>
          <t>144 Crosstide Circle</t>
        </is>
      </c>
      <c r="G260" t="inlineStr">
        <is>
          <t>Table</t>
        </is>
      </c>
      <c r="H260" s="62">
        <v>10</v>
      </c>
      <c r="I260">
        <v>11</v>
      </c>
      <c r="J260" s="65">
        <v>625000</v>
      </c>
      <c r="K260" s="65">
        <v>615000</v>
      </c>
      <c r="L260" s="65">
        <v>580000</v>
      </c>
      <c r="M260" s="56" t="inlineStr">
        <is>
          <t>Yes</t>
        </is>
      </c>
      <c r="N260" t="inlineStr">
        <is>
          <t>Original</t>
        </is>
      </c>
      <c r="O260" t="inlineStr">
        <is>
          <t>QUALIFY</t>
        </is>
      </c>
      <c r="P260">
        <v>6</v>
      </c>
      <c r="R260" t="inlineStr">
        <is>
          <t>Replacement execution for excluded Run 6; generated under required isolation condition to restore official n=10. No material QC issue identified.</t>
        </is>
      </c>
      <c r="S260" t="inlineStr">
        <is>
          <t>Full ER</t>
        </is>
      </c>
    </row>
    <row r="261" spans="1:19" hidden="1">
      <c r="A261" t="inlineStr">
        <is>
          <t>LOOCV1-P7-S0-T-E001</t>
        </is>
      </c>
      <c r="B261" t="inlineStr">
        <is>
          <t>LOOCV1-P7-S0-T</t>
        </is>
      </c>
      <c r="C261" t="inlineStr">
        <is>
          <t>LOOCV1</t>
        </is>
      </c>
      <c r="D261" s="56">
        <v>2025</v>
      </c>
      <c r="E261" s="56" t="inlineStr">
        <is>
          <t>P7</t>
        </is>
      </c>
      <c r="F261" t="inlineStr">
        <is>
          <t>145 Crossroad Lakes Drive</t>
        </is>
      </c>
      <c r="G261" t="inlineStr">
        <is>
          <t>Table</t>
        </is>
      </c>
      <c r="H261" s="62">
        <v>1</v>
      </c>
      <c r="I261">
        <v>1</v>
      </c>
      <c r="J261" s="65">
        <v>805000</v>
      </c>
      <c r="K261" s="65">
        <v>805000</v>
      </c>
      <c r="L261" s="65">
        <v>815000</v>
      </c>
      <c r="M261" s="56" t="inlineStr">
        <is>
          <t>Yes</t>
        </is>
      </c>
      <c r="N261" t="inlineStr">
        <is>
          <t>Original</t>
        </is>
      </c>
      <c r="O261" t="inlineStr">
        <is>
          <t>QUALIFY</t>
        </is>
      </c>
      <c r="R261" t="inlineStr">
        <is>
          <t>No material QC issue identified.</t>
        </is>
      </c>
      <c r="S261" t="inlineStr">
        <is>
          <t>Full ER</t>
        </is>
      </c>
    </row>
    <row r="262" spans="1:19" hidden="1">
      <c r="A262" t="inlineStr">
        <is>
          <t>LOOCV1-P7-S0-T-E002</t>
        </is>
      </c>
      <c r="B262" t="inlineStr">
        <is>
          <t>LOOCV1-P7-S0-T</t>
        </is>
      </c>
      <c r="C262" t="inlineStr">
        <is>
          <t>LOOCV1</t>
        </is>
      </c>
      <c r="D262" s="56">
        <v>2025</v>
      </c>
      <c r="E262" s="56" t="inlineStr">
        <is>
          <t>P7</t>
        </is>
      </c>
      <c r="F262" t="inlineStr">
        <is>
          <t>145 Crossroad Lakes Drive</t>
        </is>
      </c>
      <c r="G262" t="inlineStr">
        <is>
          <t>Table</t>
        </is>
      </c>
      <c r="H262" s="62">
        <v>2</v>
      </c>
      <c r="I262">
        <v>2</v>
      </c>
      <c r="J262" s="65">
        <v>805000</v>
      </c>
      <c r="K262" s="65">
        <v>800000</v>
      </c>
      <c r="L262" s="65">
        <v>815000</v>
      </c>
      <c r="M262" s="56" t="inlineStr">
        <is>
          <t>Yes</t>
        </is>
      </c>
      <c r="N262" t="inlineStr">
        <is>
          <t>Original</t>
        </is>
      </c>
      <c r="O262" t="inlineStr">
        <is>
          <t>QUALIFY</t>
        </is>
      </c>
      <c r="R262" t="inlineStr">
        <is>
          <t>No material QC issue identified.</t>
        </is>
      </c>
      <c r="S262" t="inlineStr">
        <is>
          <t>Full ER</t>
        </is>
      </c>
    </row>
    <row r="263" spans="1:19" hidden="1">
      <c r="A263" t="inlineStr">
        <is>
          <t>LOOCV1-P7-S0-T-E003</t>
        </is>
      </c>
      <c r="B263" t="inlineStr">
        <is>
          <t>LOOCV1-P7-S0-T</t>
        </is>
      </c>
      <c r="C263" t="inlineStr">
        <is>
          <t>LOOCV1</t>
        </is>
      </c>
      <c r="D263" s="56">
        <v>2025</v>
      </c>
      <c r="E263" s="56" t="inlineStr">
        <is>
          <t>P7</t>
        </is>
      </c>
      <c r="F263" t="inlineStr">
        <is>
          <t>145 Crossroad Lakes Drive</t>
        </is>
      </c>
      <c r="G263" t="inlineStr">
        <is>
          <t>Table</t>
        </is>
      </c>
      <c r="H263" s="62">
        <v>3</v>
      </c>
      <c r="I263">
        <v>3</v>
      </c>
      <c r="J263" s="65">
        <v>790000</v>
      </c>
      <c r="K263" s="65">
        <v>805000</v>
      </c>
      <c r="L263" s="65">
        <v>815000</v>
      </c>
      <c r="M263" s="56" t="inlineStr">
        <is>
          <t>Yes</t>
        </is>
      </c>
      <c r="N263" t="inlineStr">
        <is>
          <t>Original</t>
        </is>
      </c>
      <c r="O263" t="inlineStr">
        <is>
          <t>QUALIFY</t>
        </is>
      </c>
      <c r="R263" t="inlineStr">
        <is>
          <t>No material QC issue identified.</t>
        </is>
      </c>
      <c r="S263" t="inlineStr">
        <is>
          <t>Full ER</t>
        </is>
      </c>
    </row>
    <row r="264" spans="1:19" hidden="1">
      <c r="A264" t="inlineStr">
        <is>
          <t>LOOCV1-P7-S0-T-E004</t>
        </is>
      </c>
      <c r="B264" t="inlineStr">
        <is>
          <t>LOOCV1-P7-S0-T</t>
        </is>
      </c>
      <c r="C264" t="inlineStr">
        <is>
          <t>LOOCV1</t>
        </is>
      </c>
      <c r="D264" s="56">
        <v>2025</v>
      </c>
      <c r="E264" s="56" t="inlineStr">
        <is>
          <t>P7</t>
        </is>
      </c>
      <c r="F264" t="inlineStr">
        <is>
          <t>145 Crossroad Lakes Drive</t>
        </is>
      </c>
      <c r="G264" t="inlineStr">
        <is>
          <t>Table</t>
        </is>
      </c>
      <c r="H264" s="62">
        <v>4</v>
      </c>
      <c r="I264">
        <v>4</v>
      </c>
      <c r="J264" s="65">
        <v>820000</v>
      </c>
      <c r="K264" s="65">
        <v>810000</v>
      </c>
      <c r="L264" s="65">
        <v>815000</v>
      </c>
      <c r="M264" s="56" t="inlineStr">
        <is>
          <t>Yes</t>
        </is>
      </c>
      <c r="N264" t="inlineStr">
        <is>
          <t>Original</t>
        </is>
      </c>
      <c r="O264" t="inlineStr">
        <is>
          <t>QUALIFY</t>
        </is>
      </c>
      <c r="R264" t="inlineStr">
        <is>
          <t>No material QC issue identified.</t>
        </is>
      </c>
      <c r="S264" t="inlineStr">
        <is>
          <t>Full ER</t>
        </is>
      </c>
    </row>
    <row r="265" spans="1:19" hidden="1">
      <c r="A265" t="inlineStr">
        <is>
          <t>LOOCV1-P7-S0-T-E005</t>
        </is>
      </c>
      <c r="B265" t="inlineStr">
        <is>
          <t>LOOCV1-P7-S0-T</t>
        </is>
      </c>
      <c r="C265" t="inlineStr">
        <is>
          <t>LOOCV1</t>
        </is>
      </c>
      <c r="D265" s="56">
        <v>2025</v>
      </c>
      <c r="E265" s="56" t="inlineStr">
        <is>
          <t>P7</t>
        </is>
      </c>
      <c r="F265" t="inlineStr">
        <is>
          <t>145 Crossroad Lakes Drive</t>
        </is>
      </c>
      <c r="G265" t="inlineStr">
        <is>
          <t>Table</t>
        </is>
      </c>
      <c r="I265">
        <v>5</v>
      </c>
      <c r="J265" s="65">
        <v>800000</v>
      </c>
      <c r="K265" s="65">
        <v>790000</v>
      </c>
      <c r="L265" s="65">
        <v>815000</v>
      </c>
      <c r="M265" s="56" t="inlineStr">
        <is>
          <t>No</t>
        </is>
      </c>
      <c r="N265" t="inlineStr">
        <is>
          <t>Original</t>
        </is>
      </c>
      <c r="O265" t="inlineStr">
        <is>
          <t>EXCLUDE</t>
        </is>
      </c>
      <c r="Q265">
        <v>11</v>
      </c>
      <c r="R265" t="inlineStr">
        <is>
          <t>Execution conducted in non-temporary chat; replacement execution generated under required isolation condition. Substantive QC identified no independent reasoning/evidence defect.</t>
        </is>
      </c>
      <c r="S265" t="inlineStr">
        <is>
          <t>Full ER</t>
        </is>
      </c>
    </row>
    <row r="266" spans="1:19" hidden="1">
      <c r="A266" t="inlineStr">
        <is>
          <t>LOOCV1-P7-S0-T-E006</t>
        </is>
      </c>
      <c r="B266" t="inlineStr">
        <is>
          <t>LOOCV1-P7-S0-T</t>
        </is>
      </c>
      <c r="C266" t="inlineStr">
        <is>
          <t>LOOCV1</t>
        </is>
      </c>
      <c r="D266" s="56">
        <v>2025</v>
      </c>
      <c r="E266" s="56" t="inlineStr">
        <is>
          <t>P7</t>
        </is>
      </c>
      <c r="F266" t="inlineStr">
        <is>
          <t>145 Crossroad Lakes Drive</t>
        </is>
      </c>
      <c r="G266" t="inlineStr">
        <is>
          <t>Table</t>
        </is>
      </c>
      <c r="H266" s="62">
        <v>5</v>
      </c>
      <c r="I266">
        <v>6</v>
      </c>
      <c r="J266" s="65">
        <v>810000</v>
      </c>
      <c r="K266" s="65">
        <v>800000</v>
      </c>
      <c r="L266" s="65">
        <v>815000</v>
      </c>
      <c r="M266" s="56" t="inlineStr">
        <is>
          <t>Yes</t>
        </is>
      </c>
      <c r="N266" t="inlineStr">
        <is>
          <t>Original</t>
        </is>
      </c>
      <c r="O266" t="inlineStr">
        <is>
          <t>QUALIFY</t>
        </is>
      </c>
      <c r="R266" t="inlineStr">
        <is>
          <t>No material QC issue identified.</t>
        </is>
      </c>
      <c r="S266" t="inlineStr">
        <is>
          <t>Full ER</t>
        </is>
      </c>
    </row>
    <row r="267" spans="1:19" hidden="1">
      <c r="A267" t="inlineStr">
        <is>
          <t>LOOCV1-P7-S0-T-E007</t>
        </is>
      </c>
      <c r="B267" t="inlineStr">
        <is>
          <t>LOOCV1-P7-S0-T</t>
        </is>
      </c>
      <c r="C267" t="inlineStr">
        <is>
          <t>LOOCV1</t>
        </is>
      </c>
      <c r="D267" s="56">
        <v>2025</v>
      </c>
      <c r="E267" s="56" t="inlineStr">
        <is>
          <t>P7</t>
        </is>
      </c>
      <c r="F267" t="inlineStr">
        <is>
          <t>145 Crossroad Lakes Drive</t>
        </is>
      </c>
      <c r="G267" t="inlineStr">
        <is>
          <t>Table</t>
        </is>
      </c>
      <c r="H267" s="62">
        <v>6</v>
      </c>
      <c r="I267">
        <v>7</v>
      </c>
      <c r="J267" s="65">
        <v>805000</v>
      </c>
      <c r="K267" s="65">
        <v>800000</v>
      </c>
      <c r="L267" s="65">
        <v>815000</v>
      </c>
      <c r="M267" s="56" t="inlineStr">
        <is>
          <t>Yes</t>
        </is>
      </c>
      <c r="N267" t="inlineStr">
        <is>
          <t>Original</t>
        </is>
      </c>
      <c r="O267" t="inlineStr">
        <is>
          <t>QUALIFY</t>
        </is>
      </c>
      <c r="R267" t="inlineStr">
        <is>
          <t>No material QC issue identified.</t>
        </is>
      </c>
      <c r="S267" t="inlineStr">
        <is>
          <t>Full ER</t>
        </is>
      </c>
    </row>
    <row r="268" spans="1:19" hidden="1">
      <c r="A268" t="inlineStr">
        <is>
          <t>LOOCV1-P7-S0-T-E008</t>
        </is>
      </c>
      <c r="B268" t="inlineStr">
        <is>
          <t>LOOCV1-P7-S0-T</t>
        </is>
      </c>
      <c r="C268" t="inlineStr">
        <is>
          <t>LOOCV1</t>
        </is>
      </c>
      <c r="D268" s="56">
        <v>2025</v>
      </c>
      <c r="E268" s="56" t="inlineStr">
        <is>
          <t>P7</t>
        </is>
      </c>
      <c r="F268" t="inlineStr">
        <is>
          <t>145 Crossroad Lakes Drive</t>
        </is>
      </c>
      <c r="G268" t="inlineStr">
        <is>
          <t>Table</t>
        </is>
      </c>
      <c r="H268" s="62">
        <v>7</v>
      </c>
      <c r="I268">
        <v>8</v>
      </c>
      <c r="J268" s="65">
        <v>795000</v>
      </c>
      <c r="K268" s="65">
        <v>795000</v>
      </c>
      <c r="L268" s="65">
        <v>815000</v>
      </c>
      <c r="M268" s="56" t="inlineStr">
        <is>
          <t>Yes</t>
        </is>
      </c>
      <c r="N268" t="inlineStr">
        <is>
          <t>Original</t>
        </is>
      </c>
      <c r="O268" t="inlineStr">
        <is>
          <t>QUALIFY</t>
        </is>
      </c>
      <c r="R268" t="inlineStr">
        <is>
          <t>No material QC issue identified.</t>
        </is>
      </c>
      <c r="S268" t="inlineStr">
        <is>
          <t>Full ER</t>
        </is>
      </c>
    </row>
    <row r="269" spans="1:19" hidden="1">
      <c r="A269" t="inlineStr">
        <is>
          <t>LOOCV1-P7-S0-T-E009</t>
        </is>
      </c>
      <c r="B269" t="inlineStr">
        <is>
          <t>LOOCV1-P7-S0-T</t>
        </is>
      </c>
      <c r="C269" t="inlineStr">
        <is>
          <t>LOOCV1</t>
        </is>
      </c>
      <c r="D269" s="56">
        <v>2025</v>
      </c>
      <c r="E269" s="56" t="inlineStr">
        <is>
          <t>P7</t>
        </is>
      </c>
      <c r="F269" t="inlineStr">
        <is>
          <t>145 Crossroad Lakes Drive</t>
        </is>
      </c>
      <c r="G269" t="inlineStr">
        <is>
          <t>Table</t>
        </is>
      </c>
      <c r="I269">
        <v>9</v>
      </c>
      <c r="J269" s="65">
        <v>810000</v>
      </c>
      <c r="K269" s="65">
        <v>800000</v>
      </c>
      <c r="L269" s="65">
        <v>815000</v>
      </c>
      <c r="M269" s="56" t="inlineStr">
        <is>
          <t>No</t>
        </is>
      </c>
      <c r="N269" t="inlineStr">
        <is>
          <t>Original</t>
        </is>
      </c>
      <c r="O269" t="inlineStr">
        <is>
          <t>EXCLUDE</t>
        </is>
      </c>
      <c r="Q269">
        <v>12</v>
      </c>
      <c r="R269" t="inlineStr">
        <is>
          <t>Material Subject evidence-assimilation error. ER reconstructs the Subject lot as approximately 0.32 acre and incorporates that enlarged lot representation into the Subject's comparative characterization; authorized DSS evidence supports approximately 0.22 acre.</t>
        </is>
      </c>
      <c r="S269" t="inlineStr">
        <is>
          <t>Full ER</t>
        </is>
      </c>
    </row>
    <row r="270" spans="1:19" hidden="1">
      <c r="A270" t="inlineStr">
        <is>
          <t>LOOCV1-P7-S0-T-E010</t>
        </is>
      </c>
      <c r="B270" t="inlineStr">
        <is>
          <t>LOOCV1-P7-S0-T</t>
        </is>
      </c>
      <c r="C270" t="inlineStr">
        <is>
          <t>LOOCV1</t>
        </is>
      </c>
      <c r="D270" s="56">
        <v>2025</v>
      </c>
      <c r="E270" s="56" t="inlineStr">
        <is>
          <t>P7</t>
        </is>
      </c>
      <c r="F270" t="inlineStr">
        <is>
          <t>145 Crossroad Lakes Drive</t>
        </is>
      </c>
      <c r="G270" t="inlineStr">
        <is>
          <t>Table</t>
        </is>
      </c>
      <c r="H270" s="62">
        <v>8</v>
      </c>
      <c r="I270">
        <v>10</v>
      </c>
      <c r="J270" s="65">
        <v>800000</v>
      </c>
      <c r="K270" s="65">
        <v>805000</v>
      </c>
      <c r="L270" s="65">
        <v>815000</v>
      </c>
      <c r="M270" s="56" t="inlineStr">
        <is>
          <t>Yes</t>
        </is>
      </c>
      <c r="N270" t="inlineStr">
        <is>
          <t>Original</t>
        </is>
      </c>
      <c r="O270" t="inlineStr">
        <is>
          <t>QUALIFY</t>
        </is>
      </c>
      <c r="R270" t="inlineStr">
        <is>
          <t>No material QC issue identified.</t>
        </is>
      </c>
      <c r="S270" t="inlineStr">
        <is>
          <t>Full ER</t>
        </is>
      </c>
    </row>
    <row r="271" spans="1:19" hidden="1">
      <c r="A271" t="inlineStr">
        <is>
          <t>LOOCV1-P7-S0-T-E011</t>
        </is>
      </c>
      <c r="B271" t="inlineStr">
        <is>
          <t>LOOCV1-P7-S0-T</t>
        </is>
      </c>
      <c r="C271" t="inlineStr">
        <is>
          <t>LOOCV1</t>
        </is>
      </c>
      <c r="D271" s="56">
        <v>2025</v>
      </c>
      <c r="E271" s="56" t="inlineStr">
        <is>
          <t>P7</t>
        </is>
      </c>
      <c r="F271" t="inlineStr">
        <is>
          <t>145 Crossroad Lakes Drive</t>
        </is>
      </c>
      <c r="G271" t="inlineStr">
        <is>
          <t>Table</t>
        </is>
      </c>
      <c r="H271" s="62">
        <v>9</v>
      </c>
      <c r="I271">
        <v>11</v>
      </c>
      <c r="J271" s="65">
        <v>800000</v>
      </c>
      <c r="K271" s="65">
        <v>805000</v>
      </c>
      <c r="L271" s="65">
        <v>815000</v>
      </c>
      <c r="M271" s="56" t="inlineStr">
        <is>
          <t>Yes</t>
        </is>
      </c>
      <c r="N271" t="inlineStr">
        <is>
          <t>Original</t>
        </is>
      </c>
      <c r="O271" t="inlineStr">
        <is>
          <t>QUALIFY</t>
        </is>
      </c>
      <c r="P271">
        <v>5</v>
      </c>
      <c r="R271" t="inlineStr">
        <is>
          <t>Replacement execution for excluded Run 5; generated under required isolation condition to restore the official population. No material QC issue identified.</t>
        </is>
      </c>
      <c r="S271" t="inlineStr">
        <is>
          <t>Full ER</t>
        </is>
      </c>
    </row>
    <row r="272" spans="1:19" hidden="1">
      <c r="A272" t="inlineStr">
        <is>
          <t>LOOCV1-P7-S0-T-E012</t>
        </is>
      </c>
      <c r="B272" t="inlineStr">
        <is>
          <t>LOOCV1-P7-S0-T</t>
        </is>
      </c>
      <c r="C272" t="inlineStr">
        <is>
          <t>LOOCV1</t>
        </is>
      </c>
      <c r="D272" s="56">
        <v>2025</v>
      </c>
      <c r="E272" s="56" t="inlineStr">
        <is>
          <t>P7</t>
        </is>
      </c>
      <c r="F272" t="inlineStr">
        <is>
          <t>145 Crossroad Lakes Drive</t>
        </is>
      </c>
      <c r="G272" t="inlineStr">
        <is>
          <t>Table</t>
        </is>
      </c>
      <c r="H272" s="62">
        <v>10</v>
      </c>
      <c r="I272">
        <v>12</v>
      </c>
      <c r="J272" s="65">
        <v>805000</v>
      </c>
      <c r="K272" s="65">
        <v>805000</v>
      </c>
      <c r="L272" s="65">
        <v>815000</v>
      </c>
      <c r="M272" s="56" t="inlineStr">
        <is>
          <t>Yes</t>
        </is>
      </c>
      <c r="N272" t="inlineStr">
        <is>
          <t>Original</t>
        </is>
      </c>
      <c r="O272" t="inlineStr">
        <is>
          <t>QUALIFY</t>
        </is>
      </c>
      <c r="P272">
        <v>9</v>
      </c>
      <c r="R272" t="inlineStr">
        <is>
          <t>Replacement execution for excluded Run 9; generated to restore official n=10 after the material Subject lot-size evidence-assimilation error. No material QC issue identified.</t>
        </is>
      </c>
      <c r="S272" t="inlineStr">
        <is>
          <t>Full ER</t>
        </is>
      </c>
    </row>
    <row r="273" spans="1:19" hidden="1">
      <c r="A273" t="inlineStr">
        <is>
          <t>LOOCV1-P8-S0-T-E001</t>
        </is>
      </c>
      <c r="B273" t="inlineStr">
        <is>
          <t>LOOCV1-P8-S0-T</t>
        </is>
      </c>
      <c r="C273" t="inlineStr">
        <is>
          <t>LOOCV1</t>
        </is>
      </c>
      <c r="D273" s="56">
        <v>2025</v>
      </c>
      <c r="E273" s="56" t="inlineStr">
        <is>
          <t>P8</t>
        </is>
      </c>
      <c r="F273" t="inlineStr">
        <is>
          <t>140 Crosscove Circle</t>
        </is>
      </c>
      <c r="G273" t="inlineStr">
        <is>
          <t>Table</t>
        </is>
      </c>
      <c r="H273" s="62">
        <v>1</v>
      </c>
      <c r="I273">
        <v>1</v>
      </c>
      <c r="J273" s="65">
        <v>885000</v>
      </c>
      <c r="K273" s="65">
        <v>860000</v>
      </c>
      <c r="L273" s="65">
        <v>845000</v>
      </c>
      <c r="M273" s="56" t="inlineStr">
        <is>
          <t>Yes</t>
        </is>
      </c>
      <c r="N273" t="inlineStr">
        <is>
          <t>Original</t>
        </is>
      </c>
      <c r="O273" t="inlineStr">
        <is>
          <t>QUALIFY</t>
        </is>
      </c>
      <c r="R273" t="inlineStr">
        <is>
          <t>ACCEPT—NOTE — ER states that the completed-sale set contains seven sales although eight completed sales were supplied. All eight are nevertheless represented/considered in the execution; no material evidence omission or alteration identified.</t>
        </is>
      </c>
      <c r="S273" t="inlineStr">
        <is>
          <t>Full ER</t>
        </is>
      </c>
    </row>
    <row r="274" spans="1:19" hidden="1">
      <c r="A274" t="inlineStr">
        <is>
          <t>LOOCV1-P8-S0-T-E002</t>
        </is>
      </c>
      <c r="B274" t="inlineStr">
        <is>
          <t>LOOCV1-P8-S0-T</t>
        </is>
      </c>
      <c r="C274" t="inlineStr">
        <is>
          <t>LOOCV1</t>
        </is>
      </c>
      <c r="D274" s="56">
        <v>2025</v>
      </c>
      <c r="E274" s="56" t="inlineStr">
        <is>
          <t>P8</t>
        </is>
      </c>
      <c r="F274" t="inlineStr">
        <is>
          <t>140 Crosscove Circle</t>
        </is>
      </c>
      <c r="G274" t="inlineStr">
        <is>
          <t>Table</t>
        </is>
      </c>
      <c r="H274" s="62">
        <v>2</v>
      </c>
      <c r="I274">
        <v>2</v>
      </c>
      <c r="J274" s="65">
        <v>885000</v>
      </c>
      <c r="K274" s="65">
        <v>860000</v>
      </c>
      <c r="L274" s="65">
        <v>845000</v>
      </c>
      <c r="M274" s="56" t="inlineStr">
        <is>
          <t>Yes</t>
        </is>
      </c>
      <c r="N274" t="inlineStr">
        <is>
          <t>Original</t>
        </is>
      </c>
      <c r="O274" t="inlineStr">
        <is>
          <t>QUALIFY</t>
        </is>
      </c>
      <c r="R274" t="inlineStr">
        <is>
          <t>No material QC issue identified.</t>
        </is>
      </c>
      <c r="S274" t="inlineStr">
        <is>
          <t>Full ER</t>
        </is>
      </c>
    </row>
    <row r="275" spans="1:19" hidden="1">
      <c r="A275" t="inlineStr">
        <is>
          <t>LOOCV1-P8-S0-T-E003</t>
        </is>
      </c>
      <c r="B275" t="inlineStr">
        <is>
          <t>LOOCV1-P8-S0-T</t>
        </is>
      </c>
      <c r="C275" t="inlineStr">
        <is>
          <t>LOOCV1</t>
        </is>
      </c>
      <c r="D275" s="56">
        <v>2025</v>
      </c>
      <c r="E275" s="56" t="inlineStr">
        <is>
          <t>P8</t>
        </is>
      </c>
      <c r="F275" t="inlineStr">
        <is>
          <t>140 Crosscove Circle</t>
        </is>
      </c>
      <c r="G275" t="inlineStr">
        <is>
          <t>Table</t>
        </is>
      </c>
      <c r="I275">
        <v>3</v>
      </c>
      <c r="J275" s="65">
        <v>800000</v>
      </c>
      <c r="K275" s="65">
        <v>805000</v>
      </c>
      <c r="L275" s="65">
        <v>845000</v>
      </c>
      <c r="M275" s="56" t="inlineStr">
        <is>
          <t>No</t>
        </is>
      </c>
      <c r="N275" t="inlineStr">
        <is>
          <t>Original</t>
        </is>
      </c>
      <c r="O275" t="inlineStr">
        <is>
          <t>EXCLUDE</t>
        </is>
      </c>
      <c r="Q275">
        <v>11</v>
      </c>
      <c r="R275" t="inlineStr">
        <is>
          <t>EXCLUDE — wrong experimental condition. Execution reconstructs and values P7 / 145 Crossroad Lakes Drive rather than designated P8 / 140 Crosscove Circle, materially substituting the wrong held-out property and evidence condition.</t>
        </is>
      </c>
      <c r="S275" t="inlineStr">
        <is>
          <t>Full ER</t>
        </is>
      </c>
    </row>
    <row r="276" spans="1:19" hidden="1">
      <c r="A276" t="inlineStr">
        <is>
          <t>LOOCV1-P8-S0-T-E004</t>
        </is>
      </c>
      <c r="B276" t="inlineStr">
        <is>
          <t>LOOCV1-P8-S0-T</t>
        </is>
      </c>
      <c r="C276" t="inlineStr">
        <is>
          <t>LOOCV1</t>
        </is>
      </c>
      <c r="D276" s="56">
        <v>2025</v>
      </c>
      <c r="E276" s="56" t="inlineStr">
        <is>
          <t>P8</t>
        </is>
      </c>
      <c r="F276" t="inlineStr">
        <is>
          <t>140 Crosscove Circle</t>
        </is>
      </c>
      <c r="G276" t="inlineStr">
        <is>
          <t>Table</t>
        </is>
      </c>
      <c r="H276" s="62">
        <v>3</v>
      </c>
      <c r="I276">
        <v>4</v>
      </c>
      <c r="J276" s="65">
        <v>850000</v>
      </c>
      <c r="K276" s="65">
        <v>860000</v>
      </c>
      <c r="L276" s="65">
        <v>845000</v>
      </c>
      <c r="M276" s="56" t="inlineStr">
        <is>
          <t>Yes</t>
        </is>
      </c>
      <c r="N276" t="inlineStr">
        <is>
          <t>Original</t>
        </is>
      </c>
      <c r="O276" t="inlineStr">
        <is>
          <t>QUALIFY</t>
        </is>
      </c>
      <c r="R276" t="inlineStr">
        <is>
          <t>No material QC issue identified.</t>
        </is>
      </c>
      <c r="S276" t="inlineStr">
        <is>
          <t>Full ER</t>
        </is>
      </c>
    </row>
    <row r="277" spans="1:19" hidden="1">
      <c r="A277" t="inlineStr">
        <is>
          <t>LOOCV1-P8-S0-T-E005</t>
        </is>
      </c>
      <c r="B277" t="inlineStr">
        <is>
          <t>LOOCV1-P8-S0-T</t>
        </is>
      </c>
      <c r="C277" t="inlineStr">
        <is>
          <t>LOOCV1</t>
        </is>
      </c>
      <c r="D277" s="56">
        <v>2025</v>
      </c>
      <c r="E277" s="56" t="inlineStr">
        <is>
          <t>P8</t>
        </is>
      </c>
      <c r="F277" t="inlineStr">
        <is>
          <t>140 Crosscove Circle</t>
        </is>
      </c>
      <c r="G277" t="inlineStr">
        <is>
          <t>Table</t>
        </is>
      </c>
      <c r="H277" s="62">
        <v>4</v>
      </c>
      <c r="I277">
        <v>5</v>
      </c>
      <c r="J277" s="65">
        <v>885000</v>
      </c>
      <c r="K277" s="65">
        <v>870000</v>
      </c>
      <c r="L277" s="65">
        <v>845000</v>
      </c>
      <c r="M277" s="56" t="inlineStr">
        <is>
          <t>Yes</t>
        </is>
      </c>
      <c r="N277" t="inlineStr">
        <is>
          <t>Original</t>
        </is>
      </c>
      <c r="O277" t="inlineStr">
        <is>
          <t>QUALIFY</t>
        </is>
      </c>
      <c r="R277" t="inlineStr">
        <is>
          <t>No material QC issue identified.</t>
        </is>
      </c>
      <c r="S277" t="inlineStr">
        <is>
          <t>Full ER</t>
        </is>
      </c>
    </row>
    <row r="278" spans="1:19" hidden="1">
      <c r="A278" t="inlineStr">
        <is>
          <t>LOOCV1-P8-S0-T-E006</t>
        </is>
      </c>
      <c r="B278" t="inlineStr">
        <is>
          <t>LOOCV1-P8-S0-T</t>
        </is>
      </c>
      <c r="C278" t="inlineStr">
        <is>
          <t>LOOCV1</t>
        </is>
      </c>
      <c r="D278" s="56">
        <v>2025</v>
      </c>
      <c r="E278" s="56" t="inlineStr">
        <is>
          <t>P8</t>
        </is>
      </c>
      <c r="F278" t="inlineStr">
        <is>
          <t>140 Crosscove Circle</t>
        </is>
      </c>
      <c r="G278" t="inlineStr">
        <is>
          <t>Table</t>
        </is>
      </c>
      <c r="H278" s="62">
        <v>5</v>
      </c>
      <c r="I278">
        <v>6</v>
      </c>
      <c r="J278" s="65">
        <v>890000</v>
      </c>
      <c r="K278" s="65">
        <v>865000</v>
      </c>
      <c r="L278" s="65">
        <v>845000</v>
      </c>
      <c r="M278" s="56" t="inlineStr">
        <is>
          <t>Yes</t>
        </is>
      </c>
      <c r="N278" t="inlineStr">
        <is>
          <t>Original</t>
        </is>
      </c>
      <c r="O278" t="inlineStr">
        <is>
          <t>QUALIFY</t>
        </is>
      </c>
      <c r="R278" t="inlineStr">
        <is>
          <t>No material QC issue identified.</t>
        </is>
      </c>
      <c r="S278" t="inlineStr">
        <is>
          <t>Full ER</t>
        </is>
      </c>
    </row>
    <row r="279" spans="1:19" hidden="1">
      <c r="A279" t="inlineStr">
        <is>
          <t>LOOCV1-P8-S0-T-E007</t>
        </is>
      </c>
      <c r="B279" t="inlineStr">
        <is>
          <t>LOOCV1-P8-S0-T</t>
        </is>
      </c>
      <c r="C279" t="inlineStr">
        <is>
          <t>LOOCV1</t>
        </is>
      </c>
      <c r="D279" s="56">
        <v>2025</v>
      </c>
      <c r="E279" s="56" t="inlineStr">
        <is>
          <t>P8</t>
        </is>
      </c>
      <c r="F279" t="inlineStr">
        <is>
          <t>140 Crosscove Circle</t>
        </is>
      </c>
      <c r="G279" t="inlineStr">
        <is>
          <t>Table</t>
        </is>
      </c>
      <c r="H279" s="62">
        <v>6</v>
      </c>
      <c r="I279">
        <v>7</v>
      </c>
      <c r="J279" s="65">
        <v>855000</v>
      </c>
      <c r="K279" s="65">
        <v>860000</v>
      </c>
      <c r="L279" s="65">
        <v>845000</v>
      </c>
      <c r="M279" s="56" t="inlineStr">
        <is>
          <t>Yes</t>
        </is>
      </c>
      <c r="N279" t="inlineStr">
        <is>
          <t>Original</t>
        </is>
      </c>
      <c r="O279" t="inlineStr">
        <is>
          <t>QUALIFY</t>
        </is>
      </c>
      <c r="R279" t="inlineStr">
        <is>
          <t>No material QC issue identified.</t>
        </is>
      </c>
      <c r="S279" t="inlineStr">
        <is>
          <t>Full ER</t>
        </is>
      </c>
    </row>
    <row r="280" spans="1:19" hidden="1">
      <c r="A280" t="inlineStr">
        <is>
          <t>LOOCV1-P8-S0-T-E008</t>
        </is>
      </c>
      <c r="B280" t="inlineStr">
        <is>
          <t>LOOCV1-P8-S0-T</t>
        </is>
      </c>
      <c r="C280" t="inlineStr">
        <is>
          <t>LOOCV1</t>
        </is>
      </c>
      <c r="D280" s="56">
        <v>2025</v>
      </c>
      <c r="E280" s="56" t="inlineStr">
        <is>
          <t>P8</t>
        </is>
      </c>
      <c r="F280" t="inlineStr">
        <is>
          <t>140 Crosscove Circle</t>
        </is>
      </c>
      <c r="G280" t="inlineStr">
        <is>
          <t>Table</t>
        </is>
      </c>
      <c r="H280" s="62">
        <v>7</v>
      </c>
      <c r="I280">
        <v>8</v>
      </c>
      <c r="J280" s="65">
        <v>855000</v>
      </c>
      <c r="K280" s="65">
        <v>850000</v>
      </c>
      <c r="L280" s="65">
        <v>845000</v>
      </c>
      <c r="M280" s="56" t="inlineStr">
        <is>
          <t>Yes</t>
        </is>
      </c>
      <c r="N280" t="inlineStr">
        <is>
          <t>Original</t>
        </is>
      </c>
      <c r="O280" t="inlineStr">
        <is>
          <t>QUALIFY</t>
        </is>
      </c>
      <c r="R280" t="inlineStr">
        <is>
          <t>No material QC issue identified.</t>
        </is>
      </c>
      <c r="S280" t="inlineStr">
        <is>
          <t>Full ER</t>
        </is>
      </c>
    </row>
    <row r="281" spans="1:19" hidden="1">
      <c r="A281" t="inlineStr">
        <is>
          <t>LOOCV1-P8-S0-T-E009</t>
        </is>
      </c>
      <c r="B281" t="inlineStr">
        <is>
          <t>LOOCV1-P8-S0-T</t>
        </is>
      </c>
      <c r="C281" t="inlineStr">
        <is>
          <t>LOOCV1</t>
        </is>
      </c>
      <c r="D281" s="56">
        <v>2025</v>
      </c>
      <c r="E281" s="56" t="inlineStr">
        <is>
          <t>P8</t>
        </is>
      </c>
      <c r="F281" t="inlineStr">
        <is>
          <t>140 Crosscove Circle</t>
        </is>
      </c>
      <c r="G281" t="inlineStr">
        <is>
          <t>Table</t>
        </is>
      </c>
      <c r="H281" s="62">
        <v>8</v>
      </c>
      <c r="I281">
        <v>9</v>
      </c>
      <c r="J281" s="65">
        <v>860000</v>
      </c>
      <c r="K281" s="65">
        <v>860000</v>
      </c>
      <c r="L281" s="65">
        <v>845000</v>
      </c>
      <c r="M281" s="56" t="inlineStr">
        <is>
          <t>Yes</t>
        </is>
      </c>
      <c r="N281" t="inlineStr">
        <is>
          <t>Original</t>
        </is>
      </c>
      <c r="O281" t="inlineStr">
        <is>
          <t>QUALIFY</t>
        </is>
      </c>
      <c r="R281" t="inlineStr">
        <is>
          <t>No material QC issue identified.</t>
        </is>
      </c>
      <c r="S281" t="inlineStr">
        <is>
          <t>Full ER</t>
        </is>
      </c>
    </row>
    <row r="282" spans="1:19" hidden="1">
      <c r="A282" t="inlineStr">
        <is>
          <t>LOOCV1-P8-S0-T-E010</t>
        </is>
      </c>
      <c r="B282" t="inlineStr">
        <is>
          <t>LOOCV1-P8-S0-T</t>
        </is>
      </c>
      <c r="C282" t="inlineStr">
        <is>
          <t>LOOCV1</t>
        </is>
      </c>
      <c r="D282" s="56">
        <v>2025</v>
      </c>
      <c r="E282" s="56" t="inlineStr">
        <is>
          <t>P8</t>
        </is>
      </c>
      <c r="F282" t="inlineStr">
        <is>
          <t>140 Crosscove Circle</t>
        </is>
      </c>
      <c r="G282" t="inlineStr">
        <is>
          <t>Table</t>
        </is>
      </c>
      <c r="I282">
        <v>10</v>
      </c>
      <c r="J282" s="65">
        <v>855000</v>
      </c>
      <c r="K282" s="65">
        <v>865000</v>
      </c>
      <c r="L282" s="65">
        <v>845000</v>
      </c>
      <c r="M282" s="56" t="inlineStr">
        <is>
          <t>No</t>
        </is>
      </c>
      <c r="N282" t="inlineStr">
        <is>
          <t>Original</t>
        </is>
      </c>
      <c r="O282" t="inlineStr">
        <is>
          <t>EXCLUDE</t>
        </is>
      </c>
      <c r="Q282">
        <v>12</v>
      </c>
      <c r="R282" t="inlineStr">
        <is>
          <t>EXCLUDE — material Subject evidence-assimilation error. ER reverses the reported roof and HVAC vintages, reconstructing a 2022 roof and 2016 HVAC where the authorized evidence reports a 2015 roof and 2022 HVAC, materially altering major-system condition evidence.</t>
        </is>
      </c>
      <c r="S282" t="inlineStr">
        <is>
          <t>Full ER</t>
        </is>
      </c>
    </row>
    <row r="283" spans="1:19" hidden="1">
      <c r="A283" t="inlineStr">
        <is>
          <t>LOOCV1-P8-S0-T-E011</t>
        </is>
      </c>
      <c r="B283" t="inlineStr">
        <is>
          <t>LOOCV1-P8-S0-T</t>
        </is>
      </c>
      <c r="C283" t="inlineStr">
        <is>
          <t>LOOCV1</t>
        </is>
      </c>
      <c r="D283" s="56">
        <v>2025</v>
      </c>
      <c r="E283" s="56" t="inlineStr">
        <is>
          <t>P8</t>
        </is>
      </c>
      <c r="F283" t="inlineStr">
        <is>
          <t>140 Crosscove Circle</t>
        </is>
      </c>
      <c r="G283" t="inlineStr">
        <is>
          <t>Table</t>
        </is>
      </c>
      <c r="H283" s="62">
        <v>9</v>
      </c>
      <c r="I283">
        <v>11</v>
      </c>
      <c r="J283" s="65">
        <v>870000</v>
      </c>
      <c r="K283" s="65">
        <v>860000</v>
      </c>
      <c r="L283" s="65">
        <v>845000</v>
      </c>
      <c r="M283" s="56" t="inlineStr">
        <is>
          <t>Yes</t>
        </is>
      </c>
      <c r="N283" t="inlineStr">
        <is>
          <t>Original</t>
        </is>
      </c>
      <c r="O283" t="inlineStr">
        <is>
          <t>QUALIFY</t>
        </is>
      </c>
      <c r="P283">
        <v>3</v>
      </c>
      <c r="R283" t="inlineStr">
        <is>
          <t>Replacement execution for excluded Run 3; generated to restore official n=10 after wrong experimental condition. No material QC issue identified.</t>
        </is>
      </c>
      <c r="S283" t="inlineStr">
        <is>
          <t>Full ER</t>
        </is>
      </c>
    </row>
    <row r="284" spans="1:19" hidden="1">
      <c r="A284" t="inlineStr">
        <is>
          <t>LOOCV1-P8-S0-T-E012</t>
        </is>
      </c>
      <c r="B284" t="inlineStr">
        <is>
          <t>LOOCV1-P8-S0-T</t>
        </is>
      </c>
      <c r="C284" t="inlineStr">
        <is>
          <t>LOOCV1</t>
        </is>
      </c>
      <c r="D284" s="56">
        <v>2025</v>
      </c>
      <c r="E284" s="56" t="inlineStr">
        <is>
          <t>P8</t>
        </is>
      </c>
      <c r="F284" t="inlineStr">
        <is>
          <t>140 Crosscove Circle</t>
        </is>
      </c>
      <c r="G284" t="inlineStr">
        <is>
          <t>Table</t>
        </is>
      </c>
      <c r="H284" s="62">
        <v>10</v>
      </c>
      <c r="I284">
        <v>12</v>
      </c>
      <c r="J284" s="65">
        <v>855000</v>
      </c>
      <c r="K284" s="65">
        <v>860000</v>
      </c>
      <c r="L284" s="65">
        <v>845000</v>
      </c>
      <c r="M284" s="56" t="inlineStr">
        <is>
          <t>Yes</t>
        </is>
      </c>
      <c r="N284" t="inlineStr">
        <is>
          <t>Original</t>
        </is>
      </c>
      <c r="O284" t="inlineStr">
        <is>
          <t>QUALIFY</t>
        </is>
      </c>
      <c r="P284">
        <v>10</v>
      </c>
      <c r="R284" t="inlineStr">
        <is>
          <t>Replacement execution for excluded Run 10; generated to restore official n=10 after material roof/HVAC evidence-assimilation error. No material QC issue identified.</t>
        </is>
      </c>
      <c r="S284" t="inlineStr">
        <is>
          <t>Full ER</t>
        </is>
      </c>
    </row>
    <row r="285" spans="1:19" hidden="1">
      <c r="A285" t="inlineStr">
        <is>
          <t>LOOCV1-P9-S0-T-E001</t>
        </is>
      </c>
      <c r="B285" t="inlineStr">
        <is>
          <t>LOOCV1-P9-S0-T</t>
        </is>
      </c>
      <c r="C285" t="inlineStr">
        <is>
          <t>LOOCV1</t>
        </is>
      </c>
      <c r="D285" s="56">
        <v>2025</v>
      </c>
      <c r="E285" s="56" t="inlineStr">
        <is>
          <t>P9</t>
        </is>
      </c>
      <c r="F285" t="inlineStr">
        <is>
          <t>104 Seaside Circle</t>
        </is>
      </c>
      <c r="G285" t="inlineStr">
        <is>
          <t>Table</t>
        </is>
      </c>
      <c r="H285" s="62">
        <v>1</v>
      </c>
      <c r="I285">
        <v>1</v>
      </c>
      <c r="J285" s="65">
        <v>710000</v>
      </c>
      <c r="K285" s="65">
        <v>650000</v>
      </c>
      <c r="L285" s="65">
        <v>610000</v>
      </c>
      <c r="M285" s="56" t="inlineStr">
        <is>
          <t>Yes</t>
        </is>
      </c>
      <c r="N285" t="inlineStr">
        <is>
          <t>Original</t>
        </is>
      </c>
      <c r="O285" t="inlineStr">
        <is>
          <t>QUALIFY</t>
        </is>
      </c>
      <c r="R285" t="inlineStr">
        <is>
          <t>No material QC issue identified.</t>
        </is>
      </c>
      <c r="S285" t="inlineStr">
        <is>
          <t>Full ER</t>
        </is>
      </c>
    </row>
    <row r="286" spans="1:19" hidden="1">
      <c r="A286" t="inlineStr">
        <is>
          <t>LOOCV1-P9-S0-T-E002</t>
        </is>
      </c>
      <c r="B286" t="inlineStr">
        <is>
          <t>LOOCV1-P9-S0-T</t>
        </is>
      </c>
      <c r="C286" t="inlineStr">
        <is>
          <t>LOOCV1</t>
        </is>
      </c>
      <c r="D286" s="56">
        <v>2025</v>
      </c>
      <c r="E286" s="56" t="inlineStr">
        <is>
          <t>P9</t>
        </is>
      </c>
      <c r="F286" t="inlineStr">
        <is>
          <t>104 Seaside Circle</t>
        </is>
      </c>
      <c r="G286" t="inlineStr">
        <is>
          <t>Table</t>
        </is>
      </c>
      <c r="H286" s="62">
        <v>2</v>
      </c>
      <c r="I286">
        <v>2</v>
      </c>
      <c r="J286" s="65">
        <v>665000</v>
      </c>
      <c r="K286" s="65">
        <v>645000</v>
      </c>
      <c r="L286" s="65">
        <v>610000</v>
      </c>
      <c r="M286" s="56" t="inlineStr">
        <is>
          <t>Yes</t>
        </is>
      </c>
      <c r="N286" t="inlineStr">
        <is>
          <t>Original</t>
        </is>
      </c>
      <c r="O286" t="inlineStr">
        <is>
          <t>QUALIFY</t>
        </is>
      </c>
      <c r="R286" t="inlineStr">
        <is>
          <t>No material QC issue identified.</t>
        </is>
      </c>
      <c r="S286" t="inlineStr">
        <is>
          <t>Full ER</t>
        </is>
      </c>
    </row>
    <row r="287" spans="1:19" hidden="1">
      <c r="A287" t="inlineStr">
        <is>
          <t>LOOCV1-P9-S0-T-E003</t>
        </is>
      </c>
      <c r="B287" t="inlineStr">
        <is>
          <t>LOOCV1-P9-S0-T</t>
        </is>
      </c>
      <c r="C287" t="inlineStr">
        <is>
          <t>LOOCV1</t>
        </is>
      </c>
      <c r="D287" s="56">
        <v>2025</v>
      </c>
      <c r="E287" s="56" t="inlineStr">
        <is>
          <t>P9</t>
        </is>
      </c>
      <c r="F287" t="inlineStr">
        <is>
          <t>104 Seaside Circle</t>
        </is>
      </c>
      <c r="G287" t="inlineStr">
        <is>
          <t>Table</t>
        </is>
      </c>
      <c r="H287" s="62">
        <v>3</v>
      </c>
      <c r="I287">
        <v>3</v>
      </c>
      <c r="J287" s="65">
        <v>660000</v>
      </c>
      <c r="K287" s="65">
        <v>650000</v>
      </c>
      <c r="L287" s="65">
        <v>610000</v>
      </c>
      <c r="M287" s="56" t="inlineStr">
        <is>
          <t>Yes</t>
        </is>
      </c>
      <c r="N287" t="inlineStr">
        <is>
          <t>Original</t>
        </is>
      </c>
      <c r="O287" t="inlineStr">
        <is>
          <t>QUALIFY</t>
        </is>
      </c>
      <c r="R287" t="inlineStr">
        <is>
          <t>No material QC issue identified.</t>
        </is>
      </c>
      <c r="S287" t="inlineStr">
        <is>
          <t>Full ER</t>
        </is>
      </c>
    </row>
    <row r="288" spans="1:19" hidden="1">
      <c r="A288" t="inlineStr">
        <is>
          <t>LOOCV1-P9-S0-T-E004</t>
        </is>
      </c>
      <c r="B288" t="inlineStr">
        <is>
          <t>LOOCV1-P9-S0-T</t>
        </is>
      </c>
      <c r="C288" t="inlineStr">
        <is>
          <t>LOOCV1</t>
        </is>
      </c>
      <c r="D288" s="56">
        <v>2025</v>
      </c>
      <c r="E288" s="56" t="inlineStr">
        <is>
          <t>P9</t>
        </is>
      </c>
      <c r="F288" t="inlineStr">
        <is>
          <t>104 Seaside Circle</t>
        </is>
      </c>
      <c r="G288" t="inlineStr">
        <is>
          <t>Table</t>
        </is>
      </c>
      <c r="H288" s="62">
        <v>4</v>
      </c>
      <c r="I288">
        <v>4</v>
      </c>
      <c r="J288" s="65">
        <v>675000</v>
      </c>
      <c r="K288" s="65">
        <v>655000</v>
      </c>
      <c r="L288" s="65">
        <v>610000</v>
      </c>
      <c r="M288" s="56" t="inlineStr">
        <is>
          <t>Yes</t>
        </is>
      </c>
      <c r="N288" t="inlineStr">
        <is>
          <t>Original</t>
        </is>
      </c>
      <c r="O288" t="inlineStr">
        <is>
          <t>QUALIFY</t>
        </is>
      </c>
      <c r="R288" t="inlineStr">
        <is>
          <t>No material QC issue identified.</t>
        </is>
      </c>
      <c r="S288" t="inlineStr">
        <is>
          <t>Full ER</t>
        </is>
      </c>
    </row>
    <row r="289" spans="1:19" hidden="1">
      <c r="A289" t="inlineStr">
        <is>
          <t>LOOCV1-P9-S0-T-E005</t>
        </is>
      </c>
      <c r="B289" t="inlineStr">
        <is>
          <t>LOOCV1-P9-S0-T</t>
        </is>
      </c>
      <c r="C289" t="inlineStr">
        <is>
          <t>LOOCV1</t>
        </is>
      </c>
      <c r="D289" s="56">
        <v>2025</v>
      </c>
      <c r="E289" s="56" t="inlineStr">
        <is>
          <t>P9</t>
        </is>
      </c>
      <c r="F289" t="inlineStr">
        <is>
          <t>104 Seaside Circle</t>
        </is>
      </c>
      <c r="G289" t="inlineStr">
        <is>
          <t>Table</t>
        </is>
      </c>
      <c r="H289" s="62">
        <v>5</v>
      </c>
      <c r="I289">
        <v>5</v>
      </c>
      <c r="J289" s="65">
        <v>690000</v>
      </c>
      <c r="K289" s="65">
        <v>650000</v>
      </c>
      <c r="L289" s="65">
        <v>610000</v>
      </c>
      <c r="M289" s="56" t="inlineStr">
        <is>
          <t>Yes</t>
        </is>
      </c>
      <c r="N289" t="inlineStr">
        <is>
          <t>Original</t>
        </is>
      </c>
      <c r="O289" t="inlineStr">
        <is>
          <t>QUALIFY</t>
        </is>
      </c>
      <c r="R289" t="inlineStr">
        <is>
          <t>No material QC issue identified.</t>
        </is>
      </c>
      <c r="S289" t="inlineStr">
        <is>
          <t>Full ER</t>
        </is>
      </c>
    </row>
    <row r="290" spans="1:19" hidden="1">
      <c r="A290" t="inlineStr">
        <is>
          <t>LOOCV1-P9-S0-T-E006</t>
        </is>
      </c>
      <c r="B290" t="inlineStr">
        <is>
          <t>LOOCV1-P9-S0-T</t>
        </is>
      </c>
      <c r="C290" t="inlineStr">
        <is>
          <t>LOOCV1</t>
        </is>
      </c>
      <c r="D290" s="56">
        <v>2025</v>
      </c>
      <c r="E290" s="56" t="inlineStr">
        <is>
          <t>P9</t>
        </is>
      </c>
      <c r="F290" t="inlineStr">
        <is>
          <t>104 Seaside Circle</t>
        </is>
      </c>
      <c r="G290" t="inlineStr">
        <is>
          <t>Table</t>
        </is>
      </c>
      <c r="H290" s="62">
        <v>6</v>
      </c>
      <c r="I290">
        <v>6</v>
      </c>
      <c r="J290" s="65">
        <v>710000</v>
      </c>
      <c r="K290" s="65">
        <v>650000</v>
      </c>
      <c r="L290" s="65">
        <v>610000</v>
      </c>
      <c r="M290" s="56" t="inlineStr">
        <is>
          <t>Yes</t>
        </is>
      </c>
      <c r="N290" t="inlineStr">
        <is>
          <t>Original</t>
        </is>
      </c>
      <c r="O290" t="inlineStr">
        <is>
          <t>QUALIFY</t>
        </is>
      </c>
      <c r="R290" t="inlineStr">
        <is>
          <t>No material QC issue identified.</t>
        </is>
      </c>
      <c r="S290" t="inlineStr">
        <is>
          <t>Full ER</t>
        </is>
      </c>
    </row>
    <row r="291" spans="1:19" hidden="1">
      <c r="A291" t="inlineStr">
        <is>
          <t>LOOCV1-P9-S0-T-E007</t>
        </is>
      </c>
      <c r="B291" t="inlineStr">
        <is>
          <t>LOOCV1-P9-S0-T</t>
        </is>
      </c>
      <c r="C291" t="inlineStr">
        <is>
          <t>LOOCV1</t>
        </is>
      </c>
      <c r="D291" s="56">
        <v>2025</v>
      </c>
      <c r="E291" s="56" t="inlineStr">
        <is>
          <t>P9</t>
        </is>
      </c>
      <c r="F291" t="inlineStr">
        <is>
          <t>104 Seaside Circle</t>
        </is>
      </c>
      <c r="G291" t="inlineStr">
        <is>
          <t>Table</t>
        </is>
      </c>
      <c r="H291" s="62">
        <v>7</v>
      </c>
      <c r="I291">
        <v>7</v>
      </c>
      <c r="J291" s="65">
        <v>660000</v>
      </c>
      <c r="K291" s="65">
        <v>650000</v>
      </c>
      <c r="L291" s="65">
        <v>610000</v>
      </c>
      <c r="M291" s="56" t="inlineStr">
        <is>
          <t>Yes</t>
        </is>
      </c>
      <c r="N291" t="inlineStr">
        <is>
          <t>Original</t>
        </is>
      </c>
      <c r="O291" t="inlineStr">
        <is>
          <t>QUALIFY</t>
        </is>
      </c>
      <c r="R291" t="inlineStr">
        <is>
          <t>No material QC issue identified.</t>
        </is>
      </c>
      <c r="S291" t="inlineStr">
        <is>
          <t>Full ER</t>
        </is>
      </c>
    </row>
    <row r="292" spans="1:19" hidden="1">
      <c r="A292" t="inlineStr">
        <is>
          <t>LOOCV1-P9-S0-T-E008</t>
        </is>
      </c>
      <c r="B292" t="inlineStr">
        <is>
          <t>LOOCV1-P9-S0-T</t>
        </is>
      </c>
      <c r="C292" t="inlineStr">
        <is>
          <t>LOOCV1</t>
        </is>
      </c>
      <c r="D292" s="56">
        <v>2025</v>
      </c>
      <c r="E292" s="56" t="inlineStr">
        <is>
          <t>P9</t>
        </is>
      </c>
      <c r="F292" t="inlineStr">
        <is>
          <t>104 Seaside Circle</t>
        </is>
      </c>
      <c r="G292" t="inlineStr">
        <is>
          <t>Table</t>
        </is>
      </c>
      <c r="H292" s="62">
        <v>8</v>
      </c>
      <c r="I292">
        <v>8</v>
      </c>
      <c r="J292" s="65">
        <v>700000</v>
      </c>
      <c r="K292" s="65">
        <v>650000</v>
      </c>
      <c r="L292" s="65">
        <v>610000</v>
      </c>
      <c r="M292" s="56" t="inlineStr">
        <is>
          <t>Yes</t>
        </is>
      </c>
      <c r="N292" t="inlineStr">
        <is>
          <t>Original</t>
        </is>
      </c>
      <c r="O292" t="inlineStr">
        <is>
          <t>QUALIFY</t>
        </is>
      </c>
      <c r="R292" t="inlineStr">
        <is>
          <t>No material QC issue identified.</t>
        </is>
      </c>
      <c r="S292" t="inlineStr">
        <is>
          <t>Full ER</t>
        </is>
      </c>
    </row>
    <row r="293" spans="1:19" hidden="1">
      <c r="A293" t="inlineStr">
        <is>
          <t>LOOCV1-P9-S0-T-E009</t>
        </is>
      </c>
      <c r="B293" t="inlineStr">
        <is>
          <t>LOOCV1-P9-S0-T</t>
        </is>
      </c>
      <c r="C293" t="inlineStr">
        <is>
          <t>LOOCV1</t>
        </is>
      </c>
      <c r="D293" s="56">
        <v>2025</v>
      </c>
      <c r="E293" s="56" t="inlineStr">
        <is>
          <t>P9</t>
        </is>
      </c>
      <c r="F293" t="inlineStr">
        <is>
          <t>104 Seaside Circle</t>
        </is>
      </c>
      <c r="G293" t="inlineStr">
        <is>
          <t>Table</t>
        </is>
      </c>
      <c r="H293" s="62">
        <v>9</v>
      </c>
      <c r="I293">
        <v>9</v>
      </c>
      <c r="J293" s="65">
        <v>685000</v>
      </c>
      <c r="K293" s="65">
        <v>645000</v>
      </c>
      <c r="L293" s="65">
        <v>610000</v>
      </c>
      <c r="M293" s="56" t="inlineStr">
        <is>
          <t>Yes</t>
        </is>
      </c>
      <c r="N293" t="inlineStr">
        <is>
          <t>Original</t>
        </is>
      </c>
      <c r="O293" t="inlineStr">
        <is>
          <t>QUALIFY</t>
        </is>
      </c>
      <c r="R293" t="inlineStr">
        <is>
          <t>No material QC issue identified.</t>
        </is>
      </c>
      <c r="S293" t="inlineStr">
        <is>
          <t>Full ER</t>
        </is>
      </c>
    </row>
    <row r="294" spans="1:19" hidden="1">
      <c r="A294" t="inlineStr">
        <is>
          <t>LOOCV1-P9-S0-T-E010</t>
        </is>
      </c>
      <c r="B294" t="inlineStr">
        <is>
          <t>LOOCV1-P9-S0-T</t>
        </is>
      </c>
      <c r="C294" t="inlineStr">
        <is>
          <t>LOOCV1</t>
        </is>
      </c>
      <c r="D294" s="56">
        <v>2025</v>
      </c>
      <c r="E294" s="56" t="inlineStr">
        <is>
          <t>P9</t>
        </is>
      </c>
      <c r="F294" t="inlineStr">
        <is>
          <t>104 Seaside Circle</t>
        </is>
      </c>
      <c r="G294" t="inlineStr">
        <is>
          <t>Table</t>
        </is>
      </c>
      <c r="H294" s="62">
        <v>10</v>
      </c>
      <c r="I294">
        <v>10</v>
      </c>
      <c r="J294" s="65">
        <v>675000</v>
      </c>
      <c r="K294" s="65">
        <v>650000</v>
      </c>
      <c r="L294" s="65">
        <v>610000</v>
      </c>
      <c r="M294" s="56" t="inlineStr">
        <is>
          <t>Yes</t>
        </is>
      </c>
      <c r="N294" t="inlineStr">
        <is>
          <t>Original</t>
        </is>
      </c>
      <c r="O294" t="inlineStr">
        <is>
          <t>QUALIFY</t>
        </is>
      </c>
      <c r="R294" t="inlineStr">
        <is>
          <t>No material QC issue identified.</t>
        </is>
      </c>
      <c r="S294" t="inlineStr">
        <is>
          <t>Full ER</t>
        </is>
      </c>
    </row>
    <row r="295" spans="1:19" hidden="1">
      <c r="A295" t="inlineStr">
        <is>
          <t>OPVAL-P1A-S0-NT-E001</t>
        </is>
      </c>
      <c r="B295" t="inlineStr">
        <is>
          <t>OPVAL-P1A-S0-NT</t>
        </is>
      </c>
      <c r="C295" t="inlineStr">
        <is>
          <t>OPVAL</t>
        </is>
      </c>
      <c r="D295" s="56">
        <v>2026</v>
      </c>
      <c r="E295" s="56" t="inlineStr">
        <is>
          <t>P1A</t>
        </is>
      </c>
      <c r="F295" t="inlineStr">
        <is>
          <t>132 Patrick Mill Circle</t>
        </is>
      </c>
      <c r="G295" t="inlineStr">
        <is>
          <t>No Table</t>
        </is>
      </c>
      <c r="H295" s="62">
        <v>1</v>
      </c>
      <c r="I295">
        <v>1</v>
      </c>
      <c r="J295" s="65">
        <v>650000</v>
      </c>
      <c r="K295" s="65">
        <v>640000</v>
      </c>
      <c r="L295" s="65">
        <v>650000</v>
      </c>
      <c r="M295" s="56" t="inlineStr">
        <is>
          <t>Yes</t>
        </is>
      </c>
      <c r="N295" t="inlineStr">
        <is>
          <t>Original</t>
        </is>
      </c>
      <c r="O295" t="inlineStr">
        <is>
          <t>QUALIFY</t>
        </is>
      </c>
      <c r="S295" t="inlineStr">
        <is>
          <t>Full ER</t>
        </is>
      </c>
    </row>
    <row r="296" spans="1:19" s="59" customFormat="1" ht="42.75">
      <c r="A296" s="59" t="inlineStr">
        <is>
          <t>OPVAL-P1A-S0-NT-E002</t>
        </is>
      </c>
      <c r="B296" s="59" t="inlineStr">
        <is>
          <t>OPVAL-P1A-S0-NT</t>
        </is>
      </c>
      <c r="C296" s="59" t="inlineStr">
        <is>
          <t>OPVAL</t>
        </is>
      </c>
      <c r="D296" s="63">
        <v>2026</v>
      </c>
      <c r="E296" s="63" t="inlineStr">
        <is>
          <t>P1A</t>
        </is>
      </c>
      <c r="F296" s="59" t="inlineStr">
        <is>
          <t>132 Patrick Mill Circle</t>
        </is>
      </c>
      <c r="G296" s="59" t="inlineStr">
        <is>
          <t>No Table</t>
        </is>
      </c>
      <c r="H296" s="62"/>
      <c r="I296" s="59">
        <v>2</v>
      </c>
      <c r="J296" s="66">
        <v>675000</v>
      </c>
      <c r="K296" s="66">
        <v>665000</v>
      </c>
      <c r="L296" s="66">
        <v>650000</v>
      </c>
      <c r="M296" s="63" t="inlineStr">
        <is>
          <t>No</t>
        </is>
      </c>
      <c r="N296" s="59" t="inlineStr">
        <is>
          <t>Original</t>
        </is>
      </c>
      <c r="O296" s="59" t="inlineStr">
        <is>
          <t>EXCLUDE</t>
        </is>
      </c>
      <c r="Q296" s="59">
        <v>11</v>
      </c>
      <c r="R296" s="59" t="inlineStr">
        <is>
          <t>EXCLUDE / REPLACE — material Subject-state reconstruction error: Subject reported at ~1,940 SF with two-car garage instead of 2,047 SF with one-car garage; erroneous state used in comparative reasoning.</t>
        </is>
      </c>
      <c r="S296" s="59" t="inlineStr">
        <is>
          <t>Full ER</t>
        </is>
      </c>
    </row>
    <row r="297" spans="1:19" s="59" customFormat="1" ht="21.75" hidden="1" customHeight="1">
      <c r="A297" s="59" t="inlineStr">
        <is>
          <t>OPVAL-P1A-S0-NT-E003</t>
        </is>
      </c>
      <c r="B297" s="59" t="inlineStr">
        <is>
          <t>OPVAL-P1A-S0-NT</t>
        </is>
      </c>
      <c r="C297" s="59" t="inlineStr">
        <is>
          <t>OPVAL</t>
        </is>
      </c>
      <c r="D297" s="63">
        <v>2026</v>
      </c>
      <c r="E297" s="63" t="inlineStr">
        <is>
          <t>P1A</t>
        </is>
      </c>
      <c r="F297" s="59" t="inlineStr">
        <is>
          <t>132 Patrick Mill Circle</t>
        </is>
      </c>
      <c r="G297" s="59" t="inlineStr">
        <is>
          <t>No Table</t>
        </is>
      </c>
      <c r="H297" s="62">
        <v>3</v>
      </c>
      <c r="I297" s="59">
        <v>3</v>
      </c>
      <c r="J297" s="66">
        <v>645000</v>
      </c>
      <c r="K297" s="66">
        <v>650000</v>
      </c>
      <c r="L297" s="66">
        <v>650000</v>
      </c>
      <c r="M297" s="63" t="inlineStr">
        <is>
          <t>Yes</t>
        </is>
      </c>
      <c r="N297" s="59" t="inlineStr">
        <is>
          <t>Original</t>
        </is>
      </c>
      <c r="O297" s="59" t="inlineStr">
        <is>
          <t>QUALIFY</t>
        </is>
      </c>
      <c r="S297" s="59" t="inlineStr">
        <is>
          <t>Full ER</t>
        </is>
      </c>
    </row>
    <row r="298" spans="1:19" s="59" customFormat="1" ht="42.75">
      <c r="A298" s="59" t="inlineStr">
        <is>
          <t>OPVAL-P1A-S0-NT-E004</t>
        </is>
      </c>
      <c r="B298" s="59" t="inlineStr">
        <is>
          <t>OPVAL-P1A-S0-NT</t>
        </is>
      </c>
      <c r="C298" s="59" t="inlineStr">
        <is>
          <t>OPVAL</t>
        </is>
      </c>
      <c r="D298" s="63">
        <v>2026</v>
      </c>
      <c r="E298" s="63" t="inlineStr">
        <is>
          <t>P1A</t>
        </is>
      </c>
      <c r="F298" s="59" t="inlineStr">
        <is>
          <t>132 Patrick Mill Circle</t>
        </is>
      </c>
      <c r="G298" s="59" t="inlineStr">
        <is>
          <t>No Table</t>
        </is>
      </c>
      <c r="H298" s="62"/>
      <c r="I298" s="59">
        <v>4</v>
      </c>
      <c r="J298" s="66">
        <v>680000</v>
      </c>
      <c r="K298" s="66">
        <v>680000</v>
      </c>
      <c r="L298" s="66">
        <v>650000</v>
      </c>
      <c r="M298" s="63" t="inlineStr">
        <is>
          <t>No</t>
        </is>
      </c>
      <c r="N298" s="59" t="inlineStr">
        <is>
          <t>Original</t>
        </is>
      </c>
      <c r="O298" s="59" t="inlineStr">
        <is>
          <t>EXCLUDE</t>
        </is>
      </c>
      <c r="Q298" s="59">
        <v>12</v>
      </c>
      <c r="R298" s="59" t="inlineStr">
        <is>
          <t>EXCLUDE / REPLACE — material Subject-state reconstruction error: Subject reported with two-car garage instead of one-car garage; garage capacity used as valuation-relevant comparative evidence.</t>
        </is>
      </c>
      <c r="S298" s="59" t="inlineStr">
        <is>
          <t>Full ER</t>
        </is>
      </c>
    </row>
    <row r="299" spans="1:19" hidden="1">
      <c r="A299" t="inlineStr">
        <is>
          <t>OPVAL-P1A-S0-NT-E005</t>
        </is>
      </c>
      <c r="B299" t="inlineStr">
        <is>
          <t>OPVAL-P1A-S0-NT</t>
        </is>
      </c>
      <c r="C299" t="inlineStr">
        <is>
          <t>OPVAL</t>
        </is>
      </c>
      <c r="D299" s="56">
        <v>2026</v>
      </c>
      <c r="E299" s="56" t="inlineStr">
        <is>
          <t>P1A</t>
        </is>
      </c>
      <c r="F299" t="inlineStr">
        <is>
          <t>132 Patrick Mill Circle</t>
        </is>
      </c>
      <c r="G299" t="inlineStr">
        <is>
          <t>No Table</t>
        </is>
      </c>
      <c r="H299" s="62">
        <v>5</v>
      </c>
      <c r="I299">
        <v>5</v>
      </c>
      <c r="J299" s="65">
        <v>645000</v>
      </c>
      <c r="K299" s="65">
        <v>640000</v>
      </c>
      <c r="L299" s="65">
        <v>650000</v>
      </c>
      <c r="M299" s="56" t="inlineStr">
        <is>
          <t>Yes</t>
        </is>
      </c>
      <c r="N299" t="inlineStr">
        <is>
          <t>Original</t>
        </is>
      </c>
      <c r="O299" t="inlineStr">
        <is>
          <t>QUALIFY</t>
        </is>
      </c>
      <c r="S299" t="inlineStr">
        <is>
          <t>Full ER</t>
        </is>
      </c>
    </row>
    <row r="300" spans="1:19" hidden="1">
      <c r="A300" t="inlineStr">
        <is>
          <t>OPVAL-P1A-S0-NT-E006</t>
        </is>
      </c>
      <c r="B300" t="inlineStr">
        <is>
          <t>OPVAL-P1A-S0-NT</t>
        </is>
      </c>
      <c r="C300" t="inlineStr">
        <is>
          <t>OPVAL</t>
        </is>
      </c>
      <c r="D300" s="56">
        <v>2026</v>
      </c>
      <c r="E300" s="56" t="inlineStr">
        <is>
          <t>P1A</t>
        </is>
      </c>
      <c r="F300" t="inlineStr">
        <is>
          <t>132 Patrick Mill Circle</t>
        </is>
      </c>
      <c r="G300" t="inlineStr">
        <is>
          <t>No Table</t>
        </is>
      </c>
      <c r="H300" s="62">
        <v>6</v>
      </c>
      <c r="I300">
        <v>6</v>
      </c>
      <c r="J300" s="65">
        <v>665000</v>
      </c>
      <c r="K300" s="65">
        <v>655000</v>
      </c>
      <c r="L300" s="65">
        <v>650000</v>
      </c>
      <c r="M300" s="56" t="inlineStr">
        <is>
          <t>Yes</t>
        </is>
      </c>
      <c r="N300" t="inlineStr">
        <is>
          <t>Original</t>
        </is>
      </c>
      <c r="O300" t="inlineStr">
        <is>
          <t>QUALIFY</t>
        </is>
      </c>
      <c r="S300" t="inlineStr">
        <is>
          <t>Full ER</t>
        </is>
      </c>
    </row>
    <row r="301" spans="1:19" s="59" customFormat="1" ht="42.75">
      <c r="A301" s="59" t="inlineStr">
        <is>
          <t>OPVAL-P1A-S0-NT-E007</t>
        </is>
      </c>
      <c r="B301" s="59" t="inlineStr">
        <is>
          <t>OPVAL-P1A-S0-NT</t>
        </is>
      </c>
      <c r="C301" s="59" t="inlineStr">
        <is>
          <t>OPVAL</t>
        </is>
      </c>
      <c r="D301" s="63">
        <v>2026</v>
      </c>
      <c r="E301" s="63" t="inlineStr">
        <is>
          <t>P1A</t>
        </is>
      </c>
      <c r="F301" s="59" t="inlineStr">
        <is>
          <t>132 Patrick Mill Circle</t>
        </is>
      </c>
      <c r="G301" s="59" t="inlineStr">
        <is>
          <t>No Table</t>
        </is>
      </c>
      <c r="H301" s="62"/>
      <c r="I301" s="59">
        <v>7</v>
      </c>
      <c r="J301" s="66">
        <v>665000</v>
      </c>
      <c r="K301" s="66">
        <v>655000</v>
      </c>
      <c r="L301" s="66">
        <v>650000</v>
      </c>
      <c r="M301" s="63" t="inlineStr">
        <is>
          <t>No</t>
        </is>
      </c>
      <c r="N301" s="59" t="inlineStr">
        <is>
          <t>Original</t>
        </is>
      </c>
      <c r="O301" s="59" t="inlineStr">
        <is>
          <t>EXCLUDE</t>
        </is>
      </c>
      <c r="Q301" s="59">
        <v>13</v>
      </c>
      <c r="R301" s="59" t="inlineStr">
        <is>
          <t>EXCLUDE / REPLACE — material Subject-state reconstruction error: Subject reported at ~1,940 SF with two-car garage instead of 2,047 SF with one-car garage.</t>
        </is>
      </c>
      <c r="S301" s="59" t="inlineStr">
        <is>
          <t>Full ER</t>
        </is>
      </c>
    </row>
    <row r="302" spans="1:19" s="59" customFormat="1" ht="42.75">
      <c r="A302" s="59" t="inlineStr">
        <is>
          <t>OPVAL-P1A-S0-NT-E008</t>
        </is>
      </c>
      <c r="B302" s="59" t="inlineStr">
        <is>
          <t>OPVAL-P1A-S0-NT</t>
        </is>
      </c>
      <c r="C302" s="59" t="inlineStr">
        <is>
          <t>OPVAL</t>
        </is>
      </c>
      <c r="D302" s="63">
        <v>2026</v>
      </c>
      <c r="E302" s="63" t="inlineStr">
        <is>
          <t>P1A</t>
        </is>
      </c>
      <c r="F302" s="59" t="inlineStr">
        <is>
          <t>132 Patrick Mill Circle</t>
        </is>
      </c>
      <c r="G302" s="59" t="inlineStr">
        <is>
          <t>No Table</t>
        </is>
      </c>
      <c r="H302" s="62"/>
      <c r="I302" s="59">
        <v>8</v>
      </c>
      <c r="J302" s="66">
        <v>655000</v>
      </c>
      <c r="K302" s="66">
        <v>650000</v>
      </c>
      <c r="L302" s="66">
        <v>650000</v>
      </c>
      <c r="M302" s="63" t="inlineStr">
        <is>
          <t>No</t>
        </is>
      </c>
      <c r="N302" s="59" t="inlineStr">
        <is>
          <t>Original</t>
        </is>
      </c>
      <c r="O302" s="59" t="inlineStr">
        <is>
          <t>EXCLUDE</t>
        </is>
      </c>
      <c r="Q302" s="59">
        <v>14</v>
      </c>
      <c r="R302" s="59" t="inlineStr">
        <is>
          <t>EXCLUDE / REPLACE — material Subject-state reconstruction error: Subject reported at ~1,940 SF with two-car garage instead of 2,047 SF with one-car garage.</t>
        </is>
      </c>
      <c r="S302" s="59" t="inlineStr">
        <is>
          <t>Full ER</t>
        </is>
      </c>
    </row>
    <row r="303" spans="1:19" hidden="1">
      <c r="A303" t="inlineStr">
        <is>
          <t>OPVAL-P1A-S0-NT-E009</t>
        </is>
      </c>
      <c r="B303" t="inlineStr">
        <is>
          <t>OPVAL-P1A-S0-NT</t>
        </is>
      </c>
      <c r="C303" t="inlineStr">
        <is>
          <t>OPVAL</t>
        </is>
      </c>
      <c r="D303" s="56">
        <v>2026</v>
      </c>
      <c r="E303" s="56" t="inlineStr">
        <is>
          <t>P1A</t>
        </is>
      </c>
      <c r="F303" t="inlineStr">
        <is>
          <t>132 Patrick Mill Circle</t>
        </is>
      </c>
      <c r="G303" t="inlineStr">
        <is>
          <t>No Table</t>
        </is>
      </c>
      <c r="H303" s="62">
        <v>9</v>
      </c>
      <c r="I303">
        <v>9</v>
      </c>
      <c r="J303" s="65">
        <v>645000</v>
      </c>
      <c r="K303" s="65">
        <v>635000</v>
      </c>
      <c r="L303" s="65">
        <v>650000</v>
      </c>
      <c r="M303" s="56" t="inlineStr">
        <is>
          <t>Yes</t>
        </is>
      </c>
      <c r="N303" t="inlineStr">
        <is>
          <t>Original</t>
        </is>
      </c>
      <c r="O303" t="inlineStr">
        <is>
          <t>QUALIFY</t>
        </is>
      </c>
      <c r="S303" t="inlineStr">
        <is>
          <t>Full ER</t>
        </is>
      </c>
    </row>
    <row r="304" spans="1:19" s="59" customFormat="1" ht="42.75">
      <c r="A304" s="59" t="inlineStr">
        <is>
          <t>OPVAL-P1A-S0-NT-E010</t>
        </is>
      </c>
      <c r="B304" s="59" t="inlineStr">
        <is>
          <t>OPVAL-P1A-S0-NT</t>
        </is>
      </c>
      <c r="C304" s="59" t="inlineStr">
        <is>
          <t>OPVAL</t>
        </is>
      </c>
      <c r="D304" s="63">
        <v>2026</v>
      </c>
      <c r="E304" s="63" t="inlineStr">
        <is>
          <t>P1A</t>
        </is>
      </c>
      <c r="F304" s="59" t="inlineStr">
        <is>
          <t>132 Patrick Mill Circle</t>
        </is>
      </c>
      <c r="G304" s="59" t="inlineStr">
        <is>
          <t>No Table</t>
        </is>
      </c>
      <c r="H304" s="62"/>
      <c r="I304" s="59">
        <v>10</v>
      </c>
      <c r="J304" s="66">
        <v>605000</v>
      </c>
      <c r="K304" s="66">
        <v>540000</v>
      </c>
      <c r="L304" s="66">
        <v>650000</v>
      </c>
      <c r="M304" s="63" t="inlineStr">
        <is>
          <t>No</t>
        </is>
      </c>
      <c r="N304" s="59" t="inlineStr">
        <is>
          <t>Original</t>
        </is>
      </c>
      <c r="O304" s="59" t="inlineStr">
        <is>
          <t>EXCLUDE</t>
        </is>
      </c>
      <c r="Q304" s="59">
        <v>15</v>
      </c>
      <c r="R304" s="59" t="inlineStr">
        <is>
          <t>EXCLUDE / REPLACE — material Subject-state reconstruction error: Subject reported at ~1,667 SF with two-car garage instead of 2,047 SF with one-car garage; corrupted state materially used in valuation.</t>
        </is>
      </c>
      <c r="S304" s="59" t="inlineStr">
        <is>
          <t>Full ER</t>
        </is>
      </c>
    </row>
    <row r="305" spans="1:19" s="59" customFormat="1" ht="42.75">
      <c r="A305" s="59" t="inlineStr">
        <is>
          <t>OPVAL-P1A-S0-NT-E011</t>
        </is>
      </c>
      <c r="B305" s="59" t="inlineStr">
        <is>
          <t>OPVAL-P1A-S0-NT</t>
        </is>
      </c>
      <c r="C305" s="59" t="inlineStr">
        <is>
          <t>OPVAL</t>
        </is>
      </c>
      <c r="D305" s="63">
        <v>2026</v>
      </c>
      <c r="E305" s="63" t="inlineStr">
        <is>
          <t>P1A</t>
        </is>
      </c>
      <c r="F305" s="59" t="inlineStr">
        <is>
          <t>132 Patrick Mill Circle</t>
        </is>
      </c>
      <c r="G305" s="59" t="inlineStr">
        <is>
          <t>No Table</t>
        </is>
      </c>
      <c r="H305" s="62"/>
      <c r="I305" s="59">
        <v>11</v>
      </c>
      <c r="J305" s="66">
        <v>680000</v>
      </c>
      <c r="K305" s="66">
        <v>680000</v>
      </c>
      <c r="L305" s="66">
        <v>650000</v>
      </c>
      <c r="M305" s="63" t="inlineStr">
        <is>
          <t>No</t>
        </is>
      </c>
      <c r="N305" s="59" t="inlineStr">
        <is>
          <t>Replacement</t>
        </is>
      </c>
      <c r="O305" s="59" t="inlineStr">
        <is>
          <t>EXCLUDE</t>
        </is>
      </c>
      <c r="P305" s="59">
        <v>2</v>
      </c>
      <c r="Q305" s="59">
        <v>16</v>
      </c>
      <c r="R305" s="59" t="inlineStr">
        <is>
          <t>EXCLUDE / REPLACE — material Subject-state reconstruction error: Subject reported at ~1,710 SF with two-car garage instead of 2,047 SF with one-car garage; erroneous size/garage state explicitly used in valuation.</t>
        </is>
      </c>
      <c r="S305" s="59" t="inlineStr">
        <is>
          <t>Full ER</t>
        </is>
      </c>
    </row>
    <row r="306" spans="1:19" hidden="1">
      <c r="A306" t="inlineStr">
        <is>
          <t>OPVAL-P1A-S0-NT-E012</t>
        </is>
      </c>
      <c r="B306" t="inlineStr">
        <is>
          <t>OPVAL-P1A-S0-NT</t>
        </is>
      </c>
      <c r="C306" t="inlineStr">
        <is>
          <t>OPVAL</t>
        </is>
      </c>
      <c r="D306" s="56">
        <v>2026</v>
      </c>
      <c r="E306" s="56" t="inlineStr">
        <is>
          <t>P1A</t>
        </is>
      </c>
      <c r="F306" t="inlineStr">
        <is>
          <t>132 Patrick Mill Circle</t>
        </is>
      </c>
      <c r="G306" t="inlineStr">
        <is>
          <t>No Table</t>
        </is>
      </c>
      <c r="H306" s="62">
        <v>4</v>
      </c>
      <c r="I306">
        <v>12</v>
      </c>
      <c r="J306" s="65">
        <v>665000</v>
      </c>
      <c r="K306" s="65">
        <v>655000</v>
      </c>
      <c r="L306" s="65">
        <v>650000</v>
      </c>
      <c r="M306" s="56" t="inlineStr">
        <is>
          <t>Yes</t>
        </is>
      </c>
      <c r="N306" t="inlineStr">
        <is>
          <t>Replacement</t>
        </is>
      </c>
      <c r="O306" t="inlineStr">
        <is>
          <t>QUALIFY</t>
        </is>
      </c>
      <c r="P306">
        <v>4</v>
      </c>
      <c r="R306" t="inlineStr">
        <is>
          <t>PASS — flagged non-material comparable-field reconstruction discrepancies observed. Examples: 265 Patrick Mill living area reported ~1,983 SF vs 2,323 SF; 216 Crosstern ~1,905 SF vs 1,995 SF. Subject decision-critical state reconstructed correctly; retained under established materiality-focused QC.</t>
        </is>
      </c>
      <c r="S306" t="inlineStr">
        <is>
          <t>Full ER</t>
        </is>
      </c>
    </row>
    <row r="307" spans="1:19" hidden="1">
      <c r="A307" t="inlineStr">
        <is>
          <t>OPVAL-P1A-S0-NT-E013</t>
        </is>
      </c>
      <c r="B307" t="inlineStr">
        <is>
          <t>OPVAL-P1A-S0-NT</t>
        </is>
      </c>
      <c r="C307" t="inlineStr">
        <is>
          <t>OPVAL</t>
        </is>
      </c>
      <c r="D307" s="56">
        <v>2026</v>
      </c>
      <c r="E307" s="56" t="inlineStr">
        <is>
          <t>P1A</t>
        </is>
      </c>
      <c r="F307" t="inlineStr">
        <is>
          <t>132 Patrick Mill Circle</t>
        </is>
      </c>
      <c r="G307" t="inlineStr">
        <is>
          <t>No Table</t>
        </is>
      </c>
      <c r="H307" s="62">
        <v>7</v>
      </c>
      <c r="I307">
        <v>13</v>
      </c>
      <c r="J307" s="65">
        <v>665000</v>
      </c>
      <c r="K307" s="65">
        <v>660000</v>
      </c>
      <c r="L307" s="65">
        <v>650000</v>
      </c>
      <c r="M307" s="56" t="inlineStr">
        <is>
          <t>Yes</t>
        </is>
      </c>
      <c r="N307" t="inlineStr">
        <is>
          <t>Replacement</t>
        </is>
      </c>
      <c r="O307" t="inlineStr">
        <is>
          <t>QUALIFY</t>
        </is>
      </c>
      <c r="P307">
        <v>7</v>
      </c>
      <c r="R307" t="inlineStr">
        <is>
          <t>PASS — flagged non-material comparable-field reconstruction discrepancies observed. Examples: 109 Patrick Mill ~1,922 SF vs 1,729 SF; 265 Patrick Mill ~1,933 SF vs 2,323 SF; 144 Crosstide ~1,996 SF vs 1,969 SF. Subject decision-critical state reconstructed correctly; retained under established materiality-focused QC.</t>
        </is>
      </c>
      <c r="S307" t="inlineStr">
        <is>
          <t>Full ER</t>
        </is>
      </c>
    </row>
    <row r="308" spans="1:19" hidden="1">
      <c r="A308" t="inlineStr">
        <is>
          <t>OPVAL-P1A-S0-NT-E014</t>
        </is>
      </c>
      <c r="B308" t="inlineStr">
        <is>
          <t>OPVAL-P1A-S0-NT</t>
        </is>
      </c>
      <c r="C308" t="inlineStr">
        <is>
          <t>OPVAL</t>
        </is>
      </c>
      <c r="D308" s="56">
        <v>2026</v>
      </c>
      <c r="E308" s="56" t="inlineStr">
        <is>
          <t>P1A</t>
        </is>
      </c>
      <c r="F308" t="inlineStr">
        <is>
          <t>132 Patrick Mill Circle</t>
        </is>
      </c>
      <c r="G308" t="inlineStr">
        <is>
          <t>No Table</t>
        </is>
      </c>
      <c r="H308" s="62">
        <v>8</v>
      </c>
      <c r="I308">
        <v>14</v>
      </c>
      <c r="J308" s="65">
        <v>665000</v>
      </c>
      <c r="K308" s="65">
        <v>650000</v>
      </c>
      <c r="L308" s="65">
        <v>650000</v>
      </c>
      <c r="M308" s="56" t="inlineStr">
        <is>
          <t>Yes</t>
        </is>
      </c>
      <c r="N308" t="inlineStr">
        <is>
          <t>Replacement</t>
        </is>
      </c>
      <c r="O308" t="inlineStr">
        <is>
          <t>QUALIFY</t>
        </is>
      </c>
      <c r="P308">
        <v>8</v>
      </c>
      <c r="R308" t="inlineStr">
        <is>
          <t>PASS — flagged non-material comparable-field reconstruction discrepancy: 265 Patrick Mill living area reported ~1,993 SF vs 2,323 SF. Subject decision-critical state reconstructed correctly; retained under established materiality-focused QC.</t>
        </is>
      </c>
      <c r="S308" t="inlineStr">
        <is>
          <t>Full ER</t>
        </is>
      </c>
    </row>
    <row r="309" spans="1:19" hidden="1">
      <c r="A309" t="inlineStr">
        <is>
          <t>OPVAL-P1A-S0-NT-E015</t>
        </is>
      </c>
      <c r="B309" t="inlineStr">
        <is>
          <t>OPVAL-P1A-S0-NT</t>
        </is>
      </c>
      <c r="C309" t="inlineStr">
        <is>
          <t>OPVAL</t>
        </is>
      </c>
      <c r="D309" s="56">
        <v>2026</v>
      </c>
      <c r="E309" s="56" t="inlineStr">
        <is>
          <t>P1A</t>
        </is>
      </c>
      <c r="F309" t="inlineStr">
        <is>
          <t>132 Patrick Mill Circle</t>
        </is>
      </c>
      <c r="G309" t="inlineStr">
        <is>
          <t>No Table</t>
        </is>
      </c>
      <c r="H309" s="62">
        <v>10</v>
      </c>
      <c r="I309">
        <v>15</v>
      </c>
      <c r="J309" s="65">
        <v>680000</v>
      </c>
      <c r="K309" s="65">
        <v>660000</v>
      </c>
      <c r="L309" s="65">
        <v>650000</v>
      </c>
      <c r="M309" s="56" t="inlineStr">
        <is>
          <t>Yes</t>
        </is>
      </c>
      <c r="N309" t="inlineStr">
        <is>
          <t>Replacement</t>
        </is>
      </c>
      <c r="O309" t="inlineStr">
        <is>
          <t>QUALIFY</t>
        </is>
      </c>
      <c r="P309">
        <v>10</v>
      </c>
      <c r="S309" t="inlineStr">
        <is>
          <t>Full ER</t>
        </is>
      </c>
    </row>
    <row r="310" spans="1:19" s="59" customFormat="1" ht="42.75">
      <c r="A310" s="59" t="inlineStr">
        <is>
          <t>OPVAL-P1A-S0-NT-E016</t>
        </is>
      </c>
      <c r="B310" s="59" t="inlineStr">
        <is>
          <t>OPVAL-P1A-S0-NT</t>
        </is>
      </c>
      <c r="C310" s="59" t="inlineStr">
        <is>
          <t>OPVAL</t>
        </is>
      </c>
      <c r="D310" s="63">
        <v>2026</v>
      </c>
      <c r="E310" s="63" t="inlineStr">
        <is>
          <t>P1A</t>
        </is>
      </c>
      <c r="F310" s="59" t="inlineStr">
        <is>
          <t>132 Patrick Mill Circle</t>
        </is>
      </c>
      <c r="G310" s="59" t="inlineStr">
        <is>
          <t>No Table</t>
        </is>
      </c>
      <c r="H310" s="62"/>
      <c r="I310" s="59">
        <v>16</v>
      </c>
      <c r="J310" s="66">
        <v>725000</v>
      </c>
      <c r="K310" s="66">
        <v>700000</v>
      </c>
      <c r="L310" s="66">
        <v>650000</v>
      </c>
      <c r="M310" s="63" t="inlineStr">
        <is>
          <t>No</t>
        </is>
      </c>
      <c r="N310" s="59" t="inlineStr">
        <is>
          <t>Replacement</t>
        </is>
      </c>
      <c r="O310" s="59" t="inlineStr">
        <is>
          <t>EXCLUDE</t>
        </is>
      </c>
      <c r="P310" s="59">
        <v>11</v>
      </c>
      <c r="Q310" s="59">
        <v>17</v>
      </c>
      <c r="R310" s="59" t="inlineStr">
        <is>
          <t>EXCLUDE / REPLACE — material Subject-state reconstruction error: Subject reported at ~2,477 SF with two-car garage instead of 2,047 SF with one-car garage; both erroneous characteristics explicitly used in valuation.</t>
        </is>
      </c>
      <c r="S310" s="59" t="inlineStr">
        <is>
          <t>Full ER</t>
        </is>
      </c>
    </row>
    <row r="311" spans="1:19" hidden="1">
      <c r="A311" t="inlineStr">
        <is>
          <t>OPVAL-P1A-S0-NT-E017</t>
        </is>
      </c>
      <c r="B311" t="inlineStr">
        <is>
          <t>OPVAL-P1A-S0-NT</t>
        </is>
      </c>
      <c r="C311" t="inlineStr">
        <is>
          <t>OPVAL</t>
        </is>
      </c>
      <c r="D311" s="56">
        <v>2026</v>
      </c>
      <c r="E311" s="56" t="inlineStr">
        <is>
          <t>P1A</t>
        </is>
      </c>
      <c r="F311" t="inlineStr">
        <is>
          <t>132 Patrick Mill Circle</t>
        </is>
      </c>
      <c r="G311" t="inlineStr">
        <is>
          <t>No Table</t>
        </is>
      </c>
      <c r="H311" s="62">
        <v>2</v>
      </c>
      <c r="I311">
        <v>17</v>
      </c>
      <c r="J311" s="65">
        <v>650000</v>
      </c>
      <c r="K311" s="65">
        <v>640000</v>
      </c>
      <c r="L311" s="65">
        <v>650000</v>
      </c>
      <c r="M311" s="56" t="inlineStr">
        <is>
          <t>Yes</t>
        </is>
      </c>
      <c r="N311" t="inlineStr">
        <is>
          <t>Replacement</t>
        </is>
      </c>
      <c r="O311" t="inlineStr">
        <is>
          <t>QUALIFY</t>
        </is>
      </c>
      <c r="P311">
        <v>16</v>
      </c>
      <c r="R311" t="inlineStr">
        <is>
          <t>PASS — qualifying replacement. Subject reconstructed as 2,047 SF, 3/2, 0.12 acre, one-car garage, non-waterfront, no private pool. QC-established lineage is R2→R11→R16→R17; source filename's 'replaces run15' label is not used for registry lineage.</t>
        </is>
      </c>
      <c r="S311" t="inlineStr">
        <is>
          <t>Full ER</t>
        </is>
      </c>
    </row>
    <row r="312" spans="1:19" hidden="1">
      <c r="A312" t="inlineStr">
        <is>
          <t>OPVAL-P2A-S0-NT-E001</t>
        </is>
      </c>
      <c r="B312" t="inlineStr">
        <is>
          <t>OPVAL-P2A-S0-NT</t>
        </is>
      </c>
      <c r="C312" t="inlineStr">
        <is>
          <t>OPVAL</t>
        </is>
      </c>
      <c r="D312" s="56">
        <v>2026</v>
      </c>
      <c r="E312" s="56" t="inlineStr">
        <is>
          <t>P2A</t>
        </is>
      </c>
      <c r="F312" t="inlineStr">
        <is>
          <t>252 Seamist Court</t>
        </is>
      </c>
      <c r="G312" t="inlineStr">
        <is>
          <t>No Table</t>
        </is>
      </c>
      <c r="H312" s="62">
        <v>1</v>
      </c>
      <c r="I312">
        <v>1</v>
      </c>
      <c r="J312" s="65">
        <v>695000</v>
      </c>
      <c r="K312" s="65">
        <v>690000</v>
      </c>
      <c r="L312" s="65">
        <v>670000</v>
      </c>
      <c r="M312" s="56" t="inlineStr">
        <is>
          <t>Yes</t>
        </is>
      </c>
      <c r="N312" t="inlineStr">
        <is>
          <t>Original</t>
        </is>
      </c>
      <c r="O312" t="inlineStr">
        <is>
          <t>QUALIFY</t>
        </is>
      </c>
      <c r="R312" t="inlineStr">
        <is>
          <t>PASS — flagged non-material comparable-field reconstruction discrepancies observed; Subject decision-critical state reconstructed sufficiently correctly and retained under established materiality-focused QC.</t>
        </is>
      </c>
      <c r="S312" t="inlineStr">
        <is>
          <t>Full ER</t>
        </is>
      </c>
    </row>
    <row r="313" spans="1:19" s="59" customFormat="1" ht="57">
      <c r="A313" s="59" t="inlineStr">
        <is>
          <t>OPVAL-P2A-S0-NT-E002</t>
        </is>
      </c>
      <c r="B313" s="59" t="inlineStr">
        <is>
          <t>OPVAL-P2A-S0-NT</t>
        </is>
      </c>
      <c r="C313" s="59" t="inlineStr">
        <is>
          <t>OPVAL</t>
        </is>
      </c>
      <c r="D313" s="63">
        <v>2026</v>
      </c>
      <c r="E313" s="63" t="inlineStr">
        <is>
          <t>P2A</t>
        </is>
      </c>
      <c r="F313" s="59" t="inlineStr">
        <is>
          <t>252 Seamist Court</t>
        </is>
      </c>
      <c r="G313" s="59" t="inlineStr">
        <is>
          <t>No Table</t>
        </is>
      </c>
      <c r="H313" s="62"/>
      <c r="I313" s="59">
        <v>2</v>
      </c>
      <c r="J313" s="66">
        <v>735000</v>
      </c>
      <c r="K313" s="66">
        <v>665000</v>
      </c>
      <c r="L313" s="66">
        <v>670000</v>
      </c>
      <c r="M313" s="63" t="inlineStr">
        <is>
          <t>No</t>
        </is>
      </c>
      <c r="N313" s="59" t="inlineStr">
        <is>
          <t>Original</t>
        </is>
      </c>
      <c r="O313" s="59" t="inlineStr">
        <is>
          <t>EXCLUDE</t>
        </is>
      </c>
      <c r="Q313" s="59">
        <v>11</v>
      </c>
      <c r="R313" s="59" t="inlineStr">
        <is>
          <t>EXCLUDE / REPLACE — material Subject-state reconstruction error: Subject reconstructed at approximately 2,818 SF rather than 2,006 SF; erroneous additional size expressly used as a major positive valuation characteristic.</t>
        </is>
      </c>
      <c r="S313" s="59" t="inlineStr">
        <is>
          <t>Full ER</t>
        </is>
      </c>
    </row>
    <row r="314" spans="1:19" hidden="1">
      <c r="A314" t="inlineStr">
        <is>
          <t>OPVAL-P2A-S0-NT-E003</t>
        </is>
      </c>
      <c r="B314" t="inlineStr">
        <is>
          <t>OPVAL-P2A-S0-NT</t>
        </is>
      </c>
      <c r="C314" t="inlineStr">
        <is>
          <t>OPVAL</t>
        </is>
      </c>
      <c r="D314" s="56">
        <v>2026</v>
      </c>
      <c r="E314" s="56" t="inlineStr">
        <is>
          <t>P2A</t>
        </is>
      </c>
      <c r="F314" t="inlineStr">
        <is>
          <t>252 Seamist Court</t>
        </is>
      </c>
      <c r="G314" t="inlineStr">
        <is>
          <t>No Table</t>
        </is>
      </c>
      <c r="H314" s="62">
        <v>3</v>
      </c>
      <c r="I314">
        <v>3</v>
      </c>
      <c r="J314" s="65">
        <v>685000</v>
      </c>
      <c r="K314" s="65">
        <v>685000</v>
      </c>
      <c r="L314" s="65">
        <v>670000</v>
      </c>
      <c r="M314" s="56" t="inlineStr">
        <is>
          <t>Yes</t>
        </is>
      </c>
      <c r="N314" t="inlineStr">
        <is>
          <t>Original</t>
        </is>
      </c>
      <c r="O314" t="inlineStr">
        <is>
          <t>QUALIFY</t>
        </is>
      </c>
      <c r="R314" t="inlineStr">
        <is>
          <t>PASS — flagged non-material comparable-field reconstruction discrepancies observed; Subject decision-critical state reconstructed sufficiently correctly and retained under established materiality-focused QC.</t>
        </is>
      </c>
      <c r="S314" t="inlineStr">
        <is>
          <t>Full ER</t>
        </is>
      </c>
    </row>
    <row r="315" spans="1:19" hidden="1">
      <c r="A315" t="inlineStr">
        <is>
          <t>OPVAL-P2A-S0-NT-E004</t>
        </is>
      </c>
      <c r="B315" t="inlineStr">
        <is>
          <t>OPVAL-P2A-S0-NT</t>
        </is>
      </c>
      <c r="C315" t="inlineStr">
        <is>
          <t>OPVAL</t>
        </is>
      </c>
      <c r="D315" s="56">
        <v>2026</v>
      </c>
      <c r="E315" s="56" t="inlineStr">
        <is>
          <t>P2A</t>
        </is>
      </c>
      <c r="F315" t="inlineStr">
        <is>
          <t>252 Seamist Court</t>
        </is>
      </c>
      <c r="G315" t="inlineStr">
        <is>
          <t>No Table</t>
        </is>
      </c>
      <c r="H315" s="62">
        <v>4</v>
      </c>
      <c r="I315">
        <v>4</v>
      </c>
      <c r="J315" s="65">
        <v>710000</v>
      </c>
      <c r="K315" s="65">
        <v>700000</v>
      </c>
      <c r="L315" s="65">
        <v>670000</v>
      </c>
      <c r="M315" s="56" t="inlineStr">
        <is>
          <t>Yes</t>
        </is>
      </c>
      <c r="N315" t="inlineStr">
        <is>
          <t>Original</t>
        </is>
      </c>
      <c r="O315" t="inlineStr">
        <is>
          <t>QUALIFY</t>
        </is>
      </c>
      <c r="S315" t="inlineStr">
        <is>
          <t>Full ER</t>
        </is>
      </c>
    </row>
    <row r="316" spans="1:19" s="59" customFormat="1" ht="57">
      <c r="A316" s="59" t="inlineStr">
        <is>
          <t>OPVAL-P2A-S0-NT-E005</t>
        </is>
      </c>
      <c r="B316" s="59" t="inlineStr">
        <is>
          <t>OPVAL-P2A-S0-NT</t>
        </is>
      </c>
      <c r="C316" s="59" t="inlineStr">
        <is>
          <t>OPVAL</t>
        </is>
      </c>
      <c r="D316" s="63">
        <v>2026</v>
      </c>
      <c r="E316" s="63" t="inlineStr">
        <is>
          <t>P2A</t>
        </is>
      </c>
      <c r="F316" s="59" t="inlineStr">
        <is>
          <t>252 Seamist Court</t>
        </is>
      </c>
      <c r="G316" s="59" t="inlineStr">
        <is>
          <t>No Table</t>
        </is>
      </c>
      <c r="H316" s="62"/>
      <c r="I316" s="59">
        <v>5</v>
      </c>
      <c r="J316" s="66">
        <v>700000</v>
      </c>
      <c r="K316" s="66">
        <v>705000</v>
      </c>
      <c r="L316" s="66">
        <v>670000</v>
      </c>
      <c r="M316" s="63" t="inlineStr">
        <is>
          <t>No</t>
        </is>
      </c>
      <c r="N316" s="59" t="inlineStr">
        <is>
          <t>Original</t>
        </is>
      </c>
      <c r="O316" s="59" t="inlineStr">
        <is>
          <t>EXCLUDE</t>
        </is>
      </c>
      <c r="Q316" s="59">
        <v>12</v>
      </c>
      <c r="R316" s="59" t="inlineStr">
        <is>
          <t>EXCLUDE / REPLACE — material transaction-state reconstruction error: Subject represented at approximately 2,016 SF and $699,000 with erroneous near-immediate contract chronology; erroneous market-behavior state materially used in Stage 4 and final valuation.</t>
        </is>
      </c>
      <c r="S316" s="59" t="inlineStr">
        <is>
          <t>Full ER</t>
        </is>
      </c>
    </row>
    <row r="317" spans="1:19" hidden="1">
      <c r="A317" t="inlineStr">
        <is>
          <t>OPVAL-P2A-S0-NT-E006</t>
        </is>
      </c>
      <c r="B317" t="inlineStr">
        <is>
          <t>OPVAL-P2A-S0-NT</t>
        </is>
      </c>
      <c r="C317" t="inlineStr">
        <is>
          <t>OPVAL</t>
        </is>
      </c>
      <c r="D317" s="56">
        <v>2026</v>
      </c>
      <c r="E317" s="56" t="inlineStr">
        <is>
          <t>P2A</t>
        </is>
      </c>
      <c r="F317" t="inlineStr">
        <is>
          <t>252 Seamist Court</t>
        </is>
      </c>
      <c r="G317" t="inlineStr">
        <is>
          <t>No Table</t>
        </is>
      </c>
      <c r="H317" s="62">
        <v>6</v>
      </c>
      <c r="I317">
        <v>6</v>
      </c>
      <c r="J317" s="65">
        <v>675000</v>
      </c>
      <c r="K317" s="65">
        <v>685000</v>
      </c>
      <c r="L317" s="65">
        <v>670000</v>
      </c>
      <c r="M317" s="56" t="inlineStr">
        <is>
          <t>Yes</t>
        </is>
      </c>
      <c r="N317" t="inlineStr">
        <is>
          <t>Original</t>
        </is>
      </c>
      <c r="O317" t="inlineStr">
        <is>
          <t>QUALIFY</t>
        </is>
      </c>
      <c r="R317" t="inlineStr">
        <is>
          <t>PASS — flagged non-material comparable-field reconstruction discrepancies observed; Subject decision-critical state reconstructed sufficiently correctly and retained under established materiality-focused QC.</t>
        </is>
      </c>
      <c r="S317" t="inlineStr">
        <is>
          <t>Full ER</t>
        </is>
      </c>
    </row>
    <row r="318" spans="1:19" hidden="1">
      <c r="A318" t="inlineStr">
        <is>
          <t>OPVAL-P2A-S0-NT-E007</t>
        </is>
      </c>
      <c r="B318" t="inlineStr">
        <is>
          <t>OPVAL-P2A-S0-NT</t>
        </is>
      </c>
      <c r="C318" t="inlineStr">
        <is>
          <t>OPVAL</t>
        </is>
      </c>
      <c r="D318" s="56">
        <v>2026</v>
      </c>
      <c r="E318" s="56" t="inlineStr">
        <is>
          <t>P2A</t>
        </is>
      </c>
      <c r="F318" t="inlineStr">
        <is>
          <t>252 Seamist Court</t>
        </is>
      </c>
      <c r="G318" t="inlineStr">
        <is>
          <t>No Table</t>
        </is>
      </c>
      <c r="H318" s="62">
        <v>7</v>
      </c>
      <c r="I318">
        <v>7</v>
      </c>
      <c r="J318" s="65">
        <v>675000</v>
      </c>
      <c r="K318" s="65">
        <v>685000</v>
      </c>
      <c r="L318" s="65">
        <v>670000</v>
      </c>
      <c r="M318" s="56" t="inlineStr">
        <is>
          <t>Yes</t>
        </is>
      </c>
      <c r="N318" t="inlineStr">
        <is>
          <t>Original</t>
        </is>
      </c>
      <c r="O318" t="inlineStr">
        <is>
          <t>QUALIFY</t>
        </is>
      </c>
      <c r="R318" t="inlineStr">
        <is>
          <t>PASS — flagged non-material comparable-field reconstruction discrepancies observed; Subject decision-critical state reconstructed sufficiently correctly and retained under established materiality-focused QC.</t>
        </is>
      </c>
      <c r="S318" t="inlineStr">
        <is>
          <t>Full ER</t>
        </is>
      </c>
    </row>
    <row r="319" spans="1:19" hidden="1">
      <c r="A319" t="inlineStr">
        <is>
          <t>OPVAL-P2A-S0-NT-E008</t>
        </is>
      </c>
      <c r="B319" t="inlineStr">
        <is>
          <t>OPVAL-P2A-S0-NT</t>
        </is>
      </c>
      <c r="C319" t="inlineStr">
        <is>
          <t>OPVAL</t>
        </is>
      </c>
      <c r="D319" s="56">
        <v>2026</v>
      </c>
      <c r="E319" s="56" t="inlineStr">
        <is>
          <t>P2A</t>
        </is>
      </c>
      <c r="F319" t="inlineStr">
        <is>
          <t>252 Seamist Court</t>
        </is>
      </c>
      <c r="G319" t="inlineStr">
        <is>
          <t>No Table</t>
        </is>
      </c>
      <c r="H319" s="62">
        <v>8</v>
      </c>
      <c r="I319">
        <v>8</v>
      </c>
      <c r="J319" s="65">
        <v>665000</v>
      </c>
      <c r="K319" s="65">
        <v>665000</v>
      </c>
      <c r="L319" s="65">
        <v>670000</v>
      </c>
      <c r="M319" s="56" t="inlineStr">
        <is>
          <t>Yes</t>
        </is>
      </c>
      <c r="N319" t="inlineStr">
        <is>
          <t>Original</t>
        </is>
      </c>
      <c r="O319" t="inlineStr">
        <is>
          <t>QUALIFY</t>
        </is>
      </c>
      <c r="R319" t="inlineStr">
        <is>
          <t>PASS — flagged non-material comparable-field reconstruction discrepancies observed; Subject decision-critical state reconstructed sufficiently correctly and retained under established materiality-focused QC.</t>
        </is>
      </c>
      <c r="S319" t="inlineStr">
        <is>
          <t>Full ER</t>
        </is>
      </c>
    </row>
    <row r="320" spans="1:19" hidden="1">
      <c r="A320" t="inlineStr">
        <is>
          <t>OPVAL-P2A-S0-NT-E009</t>
        </is>
      </c>
      <c r="B320" t="inlineStr">
        <is>
          <t>OPVAL-P2A-S0-NT</t>
        </is>
      </c>
      <c r="C320" t="inlineStr">
        <is>
          <t>OPVAL</t>
        </is>
      </c>
      <c r="D320" s="56">
        <v>2026</v>
      </c>
      <c r="E320" s="56" t="inlineStr">
        <is>
          <t>P2A</t>
        </is>
      </c>
      <c r="F320" t="inlineStr">
        <is>
          <t>252 Seamist Court</t>
        </is>
      </c>
      <c r="G320" t="inlineStr">
        <is>
          <t>No Table</t>
        </is>
      </c>
      <c r="H320" s="62">
        <v>9</v>
      </c>
      <c r="I320">
        <v>9</v>
      </c>
      <c r="J320" s="65">
        <v>710000</v>
      </c>
      <c r="K320" s="65">
        <v>695000</v>
      </c>
      <c r="L320" s="65">
        <v>670000</v>
      </c>
      <c r="M320" s="56" t="inlineStr">
        <is>
          <t>Yes</t>
        </is>
      </c>
      <c r="N320" t="inlineStr">
        <is>
          <t>Original</t>
        </is>
      </c>
      <c r="O320" t="inlineStr">
        <is>
          <t>QUALIFY</t>
        </is>
      </c>
      <c r="S320" t="inlineStr">
        <is>
          <t>Full ER</t>
        </is>
      </c>
    </row>
    <row r="321" spans="1:19" hidden="1">
      <c r="A321" t="inlineStr">
        <is>
          <t>OPVAL-P2A-S0-NT-E010</t>
        </is>
      </c>
      <c r="B321" t="inlineStr">
        <is>
          <t>OPVAL-P2A-S0-NT</t>
        </is>
      </c>
      <c r="C321" t="inlineStr">
        <is>
          <t>OPVAL</t>
        </is>
      </c>
      <c r="D321" s="56">
        <v>2026</v>
      </c>
      <c r="E321" s="56" t="inlineStr">
        <is>
          <t>P2A</t>
        </is>
      </c>
      <c r="F321" t="inlineStr">
        <is>
          <t>252 Seamist Court</t>
        </is>
      </c>
      <c r="G321" t="inlineStr">
        <is>
          <t>No Table</t>
        </is>
      </c>
      <c r="H321" s="62">
        <v>10</v>
      </c>
      <c r="I321">
        <v>10</v>
      </c>
      <c r="J321" s="65">
        <v>690000</v>
      </c>
      <c r="K321" s="65">
        <v>685000</v>
      </c>
      <c r="L321" s="65">
        <v>670000</v>
      </c>
      <c r="M321" s="56" t="inlineStr">
        <is>
          <t>Yes</t>
        </is>
      </c>
      <c r="N321" t="inlineStr">
        <is>
          <t>Original</t>
        </is>
      </c>
      <c r="O321" t="inlineStr">
        <is>
          <t>QUALIFY</t>
        </is>
      </c>
      <c r="R321" t="inlineStr">
        <is>
          <t>PASS — flagged non-material comparable-field reconstruction discrepancies observed; Subject decision-critical state reconstructed sufficiently correctly and retained under established materiality-focused QC.</t>
        </is>
      </c>
      <c r="S321" t="inlineStr">
        <is>
          <t>Full ER</t>
        </is>
      </c>
    </row>
    <row r="322" spans="1:19" hidden="1">
      <c r="A322" t="inlineStr">
        <is>
          <t>OPVAL-P2A-S0-NT-E011</t>
        </is>
      </c>
      <c r="B322" t="inlineStr">
        <is>
          <t>OPVAL-P2A-S0-NT</t>
        </is>
      </c>
      <c r="C322" t="inlineStr">
        <is>
          <t>OPVAL</t>
        </is>
      </c>
      <c r="D322" s="56">
        <v>2026</v>
      </c>
      <c r="E322" s="56" t="inlineStr">
        <is>
          <t>P2A</t>
        </is>
      </c>
      <c r="F322" t="inlineStr">
        <is>
          <t>252 Seamist Court</t>
        </is>
      </c>
      <c r="G322" t="inlineStr">
        <is>
          <t>No Table</t>
        </is>
      </c>
      <c r="H322" s="62">
        <v>2</v>
      </c>
      <c r="I322">
        <v>11</v>
      </c>
      <c r="J322" s="65">
        <v>690000</v>
      </c>
      <c r="K322" s="65">
        <v>685000</v>
      </c>
      <c r="L322" s="65">
        <v>670000</v>
      </c>
      <c r="M322" s="56" t="inlineStr">
        <is>
          <t>Yes</t>
        </is>
      </c>
      <c r="N322" t="inlineStr">
        <is>
          <t>Replacement</t>
        </is>
      </c>
      <c r="O322" t="inlineStr">
        <is>
          <t>QUALIFY</t>
        </is>
      </c>
      <c r="P322">
        <v>2</v>
      </c>
      <c r="R322" t="inlineStr">
        <is>
          <t>PASS — qualifying replacement for R2. Subject reconstructed correctly at 2,006 SF, 3/2, two-car garage, ~0.40 acre, lakefront, no private pool, with $689,000 original/current list and approximately 9 DOM. Flagged non-material comparable discrepancy: 265 Patrick Mill living area reported ~2,163 SF vs 2,323 SF.</t>
        </is>
      </c>
      <c r="S322" t="inlineStr">
        <is>
          <t>Full ER</t>
        </is>
      </c>
    </row>
    <row r="323" spans="1:19" s="59" customFormat="1" ht="57">
      <c r="A323" s="59" t="inlineStr">
        <is>
          <t>OPVAL-P2A-S0-NT-E012</t>
        </is>
      </c>
      <c r="B323" s="59" t="inlineStr">
        <is>
          <t>OPVAL-P2A-S0-NT</t>
        </is>
      </c>
      <c r="C323" s="59" t="inlineStr">
        <is>
          <t>OPVAL</t>
        </is>
      </c>
      <c r="D323" s="63">
        <v>2026</v>
      </c>
      <c r="E323" s="63" t="inlineStr">
        <is>
          <t>P2A</t>
        </is>
      </c>
      <c r="F323" s="59" t="inlineStr">
        <is>
          <t>252 Seamist Court</t>
        </is>
      </c>
      <c r="G323" s="59" t="inlineStr">
        <is>
          <t>No Table</t>
        </is>
      </c>
      <c r="H323" s="62"/>
      <c r="I323" s="59">
        <v>12</v>
      </c>
      <c r="J323" s="66">
        <v>710000</v>
      </c>
      <c r="K323" s="66">
        <v>690000</v>
      </c>
      <c r="L323" s="66">
        <v>670000</v>
      </c>
      <c r="M323" s="63" t="inlineStr">
        <is>
          <t>No</t>
        </is>
      </c>
      <c r="N323" s="59" t="inlineStr">
        <is>
          <t>Replacement</t>
        </is>
      </c>
      <c r="O323" s="59" t="inlineStr">
        <is>
          <t>EXCLUDE</t>
        </is>
      </c>
      <c r="P323" s="59">
        <v>5</v>
      </c>
      <c r="Q323" s="59">
        <v>13</v>
      </c>
      <c r="R323" s="59" t="inlineStr">
        <is>
          <t>EXCLUDE / REPLACE — material Subject/listing-state reconstruction error: Subject reported at ~2,816 SF with $749,000 original list and $699,000 later/final list plus extended exposure/buyer resistance; erroneous state materially used in intrinsic and transaction valuation.</t>
        </is>
      </c>
      <c r="S323" s="59" t="inlineStr">
        <is>
          <t>Full ER</t>
        </is>
      </c>
    </row>
    <row r="324" spans="1:19" hidden="1">
      <c r="A324" t="inlineStr">
        <is>
          <t>OPVAL-P2A-S0-NT-E013</t>
        </is>
      </c>
      <c r="B324" t="inlineStr">
        <is>
          <t>OPVAL-P2A-S0-NT</t>
        </is>
      </c>
      <c r="C324" t="inlineStr">
        <is>
          <t>OPVAL</t>
        </is>
      </c>
      <c r="D324" s="56">
        <v>2026</v>
      </c>
      <c r="E324" s="56" t="inlineStr">
        <is>
          <t>P2A</t>
        </is>
      </c>
      <c r="F324" t="inlineStr">
        <is>
          <t>252 Seamist Court</t>
        </is>
      </c>
      <c r="G324" t="inlineStr">
        <is>
          <t>No Table</t>
        </is>
      </c>
      <c r="H324" s="62">
        <v>5</v>
      </c>
      <c r="I324">
        <v>13</v>
      </c>
      <c r="J324" s="65">
        <v>685000</v>
      </c>
      <c r="K324" s="65">
        <v>680000</v>
      </c>
      <c r="L324" s="65">
        <v>670000</v>
      </c>
      <c r="M324" s="56" t="inlineStr">
        <is>
          <t>Yes</t>
        </is>
      </c>
      <c r="N324" t="inlineStr">
        <is>
          <t>Replacement</t>
        </is>
      </c>
      <c r="O324" t="inlineStr">
        <is>
          <t>QUALIFY</t>
        </is>
      </c>
      <c r="P324">
        <v>12</v>
      </c>
      <c r="R324" t="inlineStr">
        <is>
          <t>PASS — qualifying replacement completing R5 lineage. Subject reconstructed correctly at 2,006 SF, 3/2, two-car garage, 0.40 acre, lakefront, no private pool, $689,000 original/final list and approximately 9 DOM. Flagged non-material comparable discrepancy: 265 Patrick Mill living area reported ~2,213 SF vs 2,323 SF. Lineage R5→R12→R13.</t>
        </is>
      </c>
      <c r="S324" t="inlineStr">
        <is>
          <t>Full ER</t>
        </is>
      </c>
    </row>
    <row r="325" spans="1:19" hidden="1">
      <c r="A325" t="inlineStr">
        <is>
          <t>OPVAL-P3A-S0-NT-E001</t>
        </is>
      </c>
      <c r="B325" t="inlineStr">
        <is>
          <t>OPVAL-P3A-S0-NT</t>
        </is>
      </c>
      <c r="C325" t="inlineStr">
        <is>
          <t>OPVAL</t>
        </is>
      </c>
      <c r="D325" s="56">
        <v>2026</v>
      </c>
      <c r="E325" s="56" t="inlineStr">
        <is>
          <t>P3A</t>
        </is>
      </c>
      <c r="F325" t="inlineStr">
        <is>
          <t>213 Seamist Court</t>
        </is>
      </c>
      <c r="G325" t="inlineStr">
        <is>
          <t>No Table</t>
        </is>
      </c>
      <c r="H325" s="62">
        <v>1</v>
      </c>
      <c r="I325">
        <v>1</v>
      </c>
      <c r="J325" s="65">
        <v>855000</v>
      </c>
      <c r="K325" s="65">
        <v>780000</v>
      </c>
      <c r="L325" s="65">
        <v>790000</v>
      </c>
      <c r="M325" s="56" t="inlineStr">
        <is>
          <t>Yes</t>
        </is>
      </c>
      <c r="N325" t="inlineStr">
        <is>
          <t>Original</t>
        </is>
      </c>
      <c r="O325" t="inlineStr">
        <is>
          <t>QUALIFY</t>
        </is>
      </c>
      <c r="S325" t="inlineStr">
        <is>
          <t>Full ER</t>
        </is>
      </c>
    </row>
    <row r="326" spans="1:19" hidden="1">
      <c r="A326" t="inlineStr">
        <is>
          <t>OPVAL-P3A-S0-NT-E002</t>
        </is>
      </c>
      <c r="B326" t="inlineStr">
        <is>
          <t>OPVAL-P3A-S0-NT</t>
        </is>
      </c>
      <c r="C326" t="inlineStr">
        <is>
          <t>OPVAL</t>
        </is>
      </c>
      <c r="D326" s="56">
        <v>2026</v>
      </c>
      <c r="E326" s="56" t="inlineStr">
        <is>
          <t>P3A</t>
        </is>
      </c>
      <c r="F326" t="inlineStr">
        <is>
          <t>213 Seamist Court</t>
        </is>
      </c>
      <c r="G326" t="inlineStr">
        <is>
          <t>No Table</t>
        </is>
      </c>
      <c r="H326" s="62">
        <v>2</v>
      </c>
      <c r="I326">
        <v>2</v>
      </c>
      <c r="J326" s="65">
        <v>845000</v>
      </c>
      <c r="K326" s="65">
        <v>795000</v>
      </c>
      <c r="L326" s="65">
        <v>790000</v>
      </c>
      <c r="M326" s="56" t="inlineStr">
        <is>
          <t>Yes</t>
        </is>
      </c>
      <c r="N326" t="inlineStr">
        <is>
          <t>Original</t>
        </is>
      </c>
      <c r="O326" t="inlineStr">
        <is>
          <t>QUALIFY</t>
        </is>
      </c>
      <c r="S326" t="inlineStr">
        <is>
          <t>Full ER</t>
        </is>
      </c>
    </row>
    <row r="327" spans="1:19" hidden="1">
      <c r="A327" t="inlineStr">
        <is>
          <t>OPVAL-P3A-S0-NT-E003</t>
        </is>
      </c>
      <c r="B327" t="inlineStr">
        <is>
          <t>OPVAL-P3A-S0-NT</t>
        </is>
      </c>
      <c r="C327" t="inlineStr">
        <is>
          <t>OPVAL</t>
        </is>
      </c>
      <c r="D327" s="56">
        <v>2026</v>
      </c>
      <c r="E327" s="56" t="inlineStr">
        <is>
          <t>P3A</t>
        </is>
      </c>
      <c r="F327" t="inlineStr">
        <is>
          <t>213 Seamist Court</t>
        </is>
      </c>
      <c r="G327" t="inlineStr">
        <is>
          <t>No Table</t>
        </is>
      </c>
      <c r="H327" s="62">
        <v>3</v>
      </c>
      <c r="I327">
        <v>3</v>
      </c>
      <c r="J327" s="65">
        <v>800000</v>
      </c>
      <c r="K327" s="65">
        <v>785000</v>
      </c>
      <c r="L327" s="65">
        <v>790000</v>
      </c>
      <c r="M327" s="56" t="inlineStr">
        <is>
          <t>Yes</t>
        </is>
      </c>
      <c r="N327" t="inlineStr">
        <is>
          <t>Original</t>
        </is>
      </c>
      <c r="O327" t="inlineStr">
        <is>
          <t>QUALIFY</t>
        </is>
      </c>
      <c r="S327" t="inlineStr">
        <is>
          <t>Full ER</t>
        </is>
      </c>
    </row>
    <row r="328" spans="1:19" s="59" customFormat="1" ht="42.75">
      <c r="A328" s="59" t="inlineStr">
        <is>
          <t>OPVAL-P3A-S0-NT-E004</t>
        </is>
      </c>
      <c r="B328" s="59" t="inlineStr">
        <is>
          <t>OPVAL-P3A-S0-NT</t>
        </is>
      </c>
      <c r="C328" s="59" t="inlineStr">
        <is>
          <t>OPVAL</t>
        </is>
      </c>
      <c r="D328" s="63">
        <v>2026</v>
      </c>
      <c r="E328" s="63" t="inlineStr">
        <is>
          <t>P3A</t>
        </is>
      </c>
      <c r="F328" s="59" t="inlineStr">
        <is>
          <t>213 Seamist Court</t>
        </is>
      </c>
      <c r="G328" s="59" t="inlineStr">
        <is>
          <t>No Table</t>
        </is>
      </c>
      <c r="H328" s="62"/>
      <c r="I328" s="59">
        <v>4</v>
      </c>
      <c r="J328" s="66">
        <v>795000</v>
      </c>
      <c r="K328" s="66">
        <v>780000</v>
      </c>
      <c r="L328" s="66">
        <v>790000</v>
      </c>
      <c r="M328" s="63" t="inlineStr">
        <is>
          <t>No</t>
        </is>
      </c>
      <c r="N328" s="59" t="inlineStr">
        <is>
          <t>Original</t>
        </is>
      </c>
      <c r="O328" s="59" t="inlineStr">
        <is>
          <t>EXCLUDE</t>
        </is>
      </c>
      <c r="Q328" s="59">
        <v>11</v>
      </c>
      <c r="R328" s="59" t="inlineStr">
        <is>
          <t>EXCLUDE / REPLACE — material Subject listing-state reconstruction error: original list reconstructed as $865,000 rather than $885,000 and used in transaction reasoning.</t>
        </is>
      </c>
      <c r="S328" s="59" t="inlineStr">
        <is>
          <t>Full ER</t>
        </is>
      </c>
    </row>
    <row r="329" spans="1:19" hidden="1">
      <c r="A329" t="inlineStr">
        <is>
          <t>OPVAL-P3A-S0-NT-E005</t>
        </is>
      </c>
      <c r="B329" t="inlineStr">
        <is>
          <t>OPVAL-P3A-S0-NT</t>
        </is>
      </c>
      <c r="C329" t="inlineStr">
        <is>
          <t>OPVAL</t>
        </is>
      </c>
      <c r="D329" s="56">
        <v>2026</v>
      </c>
      <c r="E329" s="56" t="inlineStr">
        <is>
          <t>P3A</t>
        </is>
      </c>
      <c r="F329" t="inlineStr">
        <is>
          <t>213 Seamist Court</t>
        </is>
      </c>
      <c r="G329" t="inlineStr">
        <is>
          <t>No Table</t>
        </is>
      </c>
      <c r="H329" s="62">
        <v>5</v>
      </c>
      <c r="I329">
        <v>5</v>
      </c>
      <c r="J329" s="65">
        <v>805000</v>
      </c>
      <c r="K329" s="65">
        <v>790000</v>
      </c>
      <c r="L329" s="65">
        <v>790000</v>
      </c>
      <c r="M329" s="56" t="inlineStr">
        <is>
          <t>Yes</t>
        </is>
      </c>
      <c r="N329" t="inlineStr">
        <is>
          <t>Original</t>
        </is>
      </c>
      <c r="O329" t="inlineStr">
        <is>
          <t>QUALIFY</t>
        </is>
      </c>
      <c r="R329" t="inlineStr">
        <is>
          <t>PASS — flagged non-material comparable-field reconstruction discrepancies observed; retained under established decision-materiality QC standard.</t>
        </is>
      </c>
      <c r="S329" t="inlineStr">
        <is>
          <t>Full ER</t>
        </is>
      </c>
    </row>
    <row r="330" spans="1:19" s="59" customFormat="1" ht="42.75">
      <c r="A330" s="59" t="inlineStr">
        <is>
          <t>OPVAL-P3A-S0-NT-E006</t>
        </is>
      </c>
      <c r="B330" s="59" t="inlineStr">
        <is>
          <t>OPVAL-P3A-S0-NT</t>
        </is>
      </c>
      <c r="C330" s="59" t="inlineStr">
        <is>
          <t>OPVAL</t>
        </is>
      </c>
      <c r="D330" s="63">
        <v>2026</v>
      </c>
      <c r="E330" s="63" t="inlineStr">
        <is>
          <t>P3A</t>
        </is>
      </c>
      <c r="F330" s="59" t="inlineStr">
        <is>
          <t>213 Seamist Court</t>
        </is>
      </c>
      <c r="G330" s="59" t="inlineStr">
        <is>
          <t>No Table</t>
        </is>
      </c>
      <c r="H330" s="62"/>
      <c r="I330" s="59">
        <v>6</v>
      </c>
      <c r="J330" s="66">
        <v>810000</v>
      </c>
      <c r="K330" s="66">
        <v>790000</v>
      </c>
      <c r="L330" s="66">
        <v>790000</v>
      </c>
      <c r="M330" s="63" t="inlineStr">
        <is>
          <t>No</t>
        </is>
      </c>
      <c r="N330" s="59" t="inlineStr">
        <is>
          <t>Original</t>
        </is>
      </c>
      <c r="O330" s="59" t="inlineStr">
        <is>
          <t>EXCLUDE</t>
        </is>
      </c>
      <c r="Q330" s="59">
        <v>12</v>
      </c>
      <c r="R330" s="59" t="inlineStr">
        <is>
          <t>EXCLUDE / REPLACE — material Subject listing-state reconstruction error: original list reconstructed at approximately $898,000 rather than $885,000 and used in transaction reasoning.</t>
        </is>
      </c>
      <c r="S330" s="59" t="inlineStr">
        <is>
          <t>Full ER</t>
        </is>
      </c>
    </row>
    <row r="331" spans="1:19" s="59" customFormat="1" ht="42.75">
      <c r="A331" s="59" t="inlineStr">
        <is>
          <t>OPVAL-P3A-S0-NT-E007</t>
        </is>
      </c>
      <c r="B331" s="59" t="inlineStr">
        <is>
          <t>OPVAL-P3A-S0-NT</t>
        </is>
      </c>
      <c r="C331" s="59" t="inlineStr">
        <is>
          <t>OPVAL</t>
        </is>
      </c>
      <c r="D331" s="63">
        <v>2026</v>
      </c>
      <c r="E331" s="63" t="inlineStr">
        <is>
          <t>P3A</t>
        </is>
      </c>
      <c r="F331" s="59" t="inlineStr">
        <is>
          <t>213 Seamist Court</t>
        </is>
      </c>
      <c r="G331" s="59" t="inlineStr">
        <is>
          <t>No Table</t>
        </is>
      </c>
      <c r="H331" s="62"/>
      <c r="I331" s="59">
        <v>7</v>
      </c>
      <c r="J331" s="66">
        <v>800000</v>
      </c>
      <c r="K331" s="66">
        <v>790000</v>
      </c>
      <c r="L331" s="66">
        <v>790000</v>
      </c>
      <c r="M331" s="63" t="inlineStr">
        <is>
          <t>No</t>
        </is>
      </c>
      <c r="N331" s="59" t="inlineStr">
        <is>
          <t>Original</t>
        </is>
      </c>
      <c r="O331" s="59" t="inlineStr">
        <is>
          <t>EXCLUDE</t>
        </is>
      </c>
      <c r="Q331" s="59">
        <v>13</v>
      </c>
      <c r="R331" s="59" t="inlineStr">
        <is>
          <t>EXCLUDE / REPLACE — material Subject listing-state reconstruction error: original list reconstructed as $985,000 rather than $885,000 and used in transaction reasoning.</t>
        </is>
      </c>
      <c r="S331" s="59" t="inlineStr">
        <is>
          <t>Full ER</t>
        </is>
      </c>
    </row>
    <row r="332" spans="1:19" s="59" customFormat="1" ht="57">
      <c r="A332" s="59" t="inlineStr">
        <is>
          <t>OPVAL-P3A-S0-NT-E008</t>
        </is>
      </c>
      <c r="B332" s="59" t="inlineStr">
        <is>
          <t>OPVAL-P3A-S0-NT</t>
        </is>
      </c>
      <c r="C332" s="59" t="inlineStr">
        <is>
          <t>OPVAL</t>
        </is>
      </c>
      <c r="D332" s="63">
        <v>2026</v>
      </c>
      <c r="E332" s="63" t="inlineStr">
        <is>
          <t>P3A</t>
        </is>
      </c>
      <c r="F332" s="59" t="inlineStr">
        <is>
          <t>213 Seamist Court</t>
        </is>
      </c>
      <c r="G332" s="59" t="inlineStr">
        <is>
          <t>No Table</t>
        </is>
      </c>
      <c r="H332" s="62"/>
      <c r="I332" s="59">
        <v>8</v>
      </c>
      <c r="J332" s="66">
        <v>785000</v>
      </c>
      <c r="K332" s="66">
        <v>775000</v>
      </c>
      <c r="L332" s="66">
        <v>790000</v>
      </c>
      <c r="M332" s="63" t="inlineStr">
        <is>
          <t>No</t>
        </is>
      </c>
      <c r="N332" s="59" t="inlineStr">
        <is>
          <t>Original</t>
        </is>
      </c>
      <c r="O332" s="59" t="inlineStr">
        <is>
          <t>EXCLUDE</t>
        </is>
      </c>
      <c r="Q332" s="59">
        <v>14</v>
      </c>
      <c r="R332" s="59" t="inlineStr">
        <is>
          <t>EXCLUDE / REPLACE — material Subject transaction-state reconstruction error: Subject represented at approximately 2,358 SF and, materially, as originally listed at $810,000, erasing the $885,000→$810,000 repricing history used in transaction reasoning.</t>
        </is>
      </c>
      <c r="S332" s="59" t="inlineStr">
        <is>
          <t>Full ER</t>
        </is>
      </c>
    </row>
    <row r="333" spans="1:19" hidden="1">
      <c r="A333" t="inlineStr">
        <is>
          <t>OPVAL-P3A-S0-NT-E009</t>
        </is>
      </c>
      <c r="B333" t="inlineStr">
        <is>
          <t>OPVAL-P3A-S0-NT</t>
        </is>
      </c>
      <c r="C333" t="inlineStr">
        <is>
          <t>OPVAL</t>
        </is>
      </c>
      <c r="D333" s="56">
        <v>2026</v>
      </c>
      <c r="E333" s="56" t="inlineStr">
        <is>
          <t>P3A</t>
        </is>
      </c>
      <c r="F333" t="inlineStr">
        <is>
          <t>213 Seamist Court</t>
        </is>
      </c>
      <c r="G333" t="inlineStr">
        <is>
          <t>No Table</t>
        </is>
      </c>
      <c r="H333" s="62">
        <v>9</v>
      </c>
      <c r="I333">
        <v>9</v>
      </c>
      <c r="J333" s="65">
        <v>825000</v>
      </c>
      <c r="K333" s="65">
        <v>795000</v>
      </c>
      <c r="L333" s="65">
        <v>790000</v>
      </c>
      <c r="M333" s="56" t="inlineStr">
        <is>
          <t>Yes</t>
        </is>
      </c>
      <c r="N333" t="inlineStr">
        <is>
          <t>Original</t>
        </is>
      </c>
      <c r="O333" t="inlineStr">
        <is>
          <t>QUALIFY</t>
        </is>
      </c>
      <c r="R333" t="inlineStr">
        <is>
          <t>PASS — flagged non-material comparable-field reconstruction discrepancies observed; retained under established decision-materiality QC standard.</t>
        </is>
      </c>
      <c r="S333" t="inlineStr">
        <is>
          <t>Full ER</t>
        </is>
      </c>
    </row>
    <row r="334" spans="1:19" s="59" customFormat="1" ht="42.75">
      <c r="A334" s="59" t="inlineStr">
        <is>
          <t>OPVAL-P3A-S0-NT-E010</t>
        </is>
      </c>
      <c r="B334" s="59" t="inlineStr">
        <is>
          <t>OPVAL-P3A-S0-NT</t>
        </is>
      </c>
      <c r="C334" s="59" t="inlineStr">
        <is>
          <t>OPVAL</t>
        </is>
      </c>
      <c r="D334" s="63">
        <v>2026</v>
      </c>
      <c r="E334" s="63" t="inlineStr">
        <is>
          <t>P3A</t>
        </is>
      </c>
      <c r="F334" s="59" t="inlineStr">
        <is>
          <t>213 Seamist Court</t>
        </is>
      </c>
      <c r="G334" s="59" t="inlineStr">
        <is>
          <t>No Table</t>
        </is>
      </c>
      <c r="H334" s="62"/>
      <c r="I334" s="59">
        <v>10</v>
      </c>
      <c r="J334" s="66">
        <v>815000</v>
      </c>
      <c r="K334" s="66">
        <v>795000</v>
      </c>
      <c r="L334" s="66">
        <v>790000</v>
      </c>
      <c r="M334" s="63" t="inlineStr">
        <is>
          <t>No</t>
        </is>
      </c>
      <c r="N334" s="59" t="inlineStr">
        <is>
          <t>Original</t>
        </is>
      </c>
      <c r="O334" s="59" t="inlineStr">
        <is>
          <t>EXCLUDE</t>
        </is>
      </c>
      <c r="Q334" s="59">
        <v>15</v>
      </c>
      <c r="R334" s="59" t="inlineStr">
        <is>
          <t>EXCLUDE / REPLACE — material Subject listing-state reconstruction error: original list reconstructed as approximately $888,000 rather than $885,000 and used in transaction reasoning.</t>
        </is>
      </c>
      <c r="S334" s="59" t="inlineStr">
        <is>
          <t>Full ER</t>
        </is>
      </c>
    </row>
    <row r="335" spans="1:19" hidden="1">
      <c r="A335" t="inlineStr">
        <is>
          <t>OPVAL-P3A-S0-NT-E011</t>
        </is>
      </c>
      <c r="B335" t="inlineStr">
        <is>
          <t>OPVAL-P3A-S0-NT</t>
        </is>
      </c>
      <c r="C335" t="inlineStr">
        <is>
          <t>OPVAL</t>
        </is>
      </c>
      <c r="D335" s="56">
        <v>2026</v>
      </c>
      <c r="E335" s="56" t="inlineStr">
        <is>
          <t>P3A</t>
        </is>
      </c>
      <c r="F335" t="inlineStr">
        <is>
          <t>213 Seamist Court</t>
        </is>
      </c>
      <c r="G335" t="inlineStr">
        <is>
          <t>No Table</t>
        </is>
      </c>
      <c r="H335" s="62">
        <v>4</v>
      </c>
      <c r="I335">
        <v>11</v>
      </c>
      <c r="J335" s="65">
        <v>790000</v>
      </c>
      <c r="K335" s="65">
        <v>785000</v>
      </c>
      <c r="L335" s="65">
        <v>790000</v>
      </c>
      <c r="M335" s="56" t="inlineStr">
        <is>
          <t>Yes</t>
        </is>
      </c>
      <c r="N335" t="inlineStr">
        <is>
          <t>Replacement</t>
        </is>
      </c>
      <c r="O335" t="inlineStr">
        <is>
          <t>QUALIFY</t>
        </is>
      </c>
      <c r="P335">
        <v>4</v>
      </c>
      <c r="R335" t="inlineStr">
        <is>
          <t>PASS — qualifying replacement for R4; decision-material Subject state and listing history reconstructed correctly.</t>
        </is>
      </c>
      <c r="S335" t="inlineStr">
        <is>
          <t>Full ER</t>
        </is>
      </c>
    </row>
    <row r="336" spans="1:19" s="59" customFormat="1" ht="42.75">
      <c r="A336" s="59" t="inlineStr">
        <is>
          <t>OPVAL-P3A-S0-NT-E012</t>
        </is>
      </c>
      <c r="B336" s="59" t="inlineStr">
        <is>
          <t>OPVAL-P3A-S0-NT</t>
        </is>
      </c>
      <c r="C336" s="59" t="inlineStr">
        <is>
          <t>OPVAL</t>
        </is>
      </c>
      <c r="D336" s="63">
        <v>2026</v>
      </c>
      <c r="E336" s="63" t="inlineStr">
        <is>
          <t>P3A</t>
        </is>
      </c>
      <c r="F336" s="59" t="inlineStr">
        <is>
          <t>213 Seamist Court</t>
        </is>
      </c>
      <c r="G336" s="59" t="inlineStr">
        <is>
          <t>No Table</t>
        </is>
      </c>
      <c r="H336" s="62"/>
      <c r="I336" s="59">
        <v>12</v>
      </c>
      <c r="J336" s="66">
        <v>845000</v>
      </c>
      <c r="K336" s="66">
        <v>805000</v>
      </c>
      <c r="L336" s="66">
        <v>790000</v>
      </c>
      <c r="M336" s="63" t="inlineStr">
        <is>
          <t>No</t>
        </is>
      </c>
      <c r="N336" s="59" t="inlineStr">
        <is>
          <t>Replacement</t>
        </is>
      </c>
      <c r="O336" s="59" t="inlineStr">
        <is>
          <t>EXCLUDE</t>
        </is>
      </c>
      <c r="P336" s="59">
        <v>6</v>
      </c>
      <c r="Q336" s="59">
        <v>16</v>
      </c>
      <c r="R336" s="59" t="inlineStr">
        <is>
          <t>EXCLUDE / REPLACE — material Subject transaction-state reconstruction error: approximately 23 days exposure reconstructed instead of approximately 237 days and used in transaction reasoning.</t>
        </is>
      </c>
      <c r="S336" s="59" t="inlineStr">
        <is>
          <t>Full ER</t>
        </is>
      </c>
    </row>
    <row r="337" spans="1:19" s="59" customFormat="1" ht="57">
      <c r="A337" s="59" t="inlineStr">
        <is>
          <t>OPVAL-P3A-S0-NT-E013</t>
        </is>
      </c>
      <c r="B337" s="59" t="inlineStr">
        <is>
          <t>OPVAL-P3A-S0-NT</t>
        </is>
      </c>
      <c r="C337" s="59" t="inlineStr">
        <is>
          <t>OPVAL</t>
        </is>
      </c>
      <c r="D337" s="63">
        <v>2026</v>
      </c>
      <c r="E337" s="63" t="inlineStr">
        <is>
          <t>P3A</t>
        </is>
      </c>
      <c r="F337" s="59" t="inlineStr">
        <is>
          <t>213 Seamist Court</t>
        </is>
      </c>
      <c r="G337" s="59" t="inlineStr">
        <is>
          <t>No Table</t>
        </is>
      </c>
      <c r="H337" s="62"/>
      <c r="I337" s="59">
        <v>13</v>
      </c>
      <c r="J337" s="66">
        <v>765000</v>
      </c>
      <c r="K337" s="66">
        <v>750000</v>
      </c>
      <c r="L337" s="66">
        <v>790000</v>
      </c>
      <c r="M337" s="63" t="inlineStr">
        <is>
          <t>No</t>
        </is>
      </c>
      <c r="N337" s="59" t="inlineStr">
        <is>
          <t>Replacement</t>
        </is>
      </c>
      <c r="O337" s="59" t="inlineStr">
        <is>
          <t>EXCLUDE</t>
        </is>
      </c>
      <c r="P337" s="59">
        <v>7</v>
      </c>
      <c r="Q337" s="59">
        <v>17</v>
      </c>
      <c r="R337" s="59" t="inlineStr">
        <is>
          <t>EXCLUDE / REPLACE — material Subject listing-state reconstruction error: represented as originally listed at $810,000 with no visible reduction, erasing the actual $885,000→$810,000 repricing history used in transaction reasoning.</t>
        </is>
      </c>
      <c r="S337" s="59" t="inlineStr">
        <is>
          <t>Full ER</t>
        </is>
      </c>
    </row>
    <row r="338" spans="1:19" s="59" customFormat="1" ht="42.75">
      <c r="A338" s="59" t="inlineStr">
        <is>
          <t>OPVAL-P3A-S0-NT-E014</t>
        </is>
      </c>
      <c r="B338" s="59" t="inlineStr">
        <is>
          <t>OPVAL-P3A-S0-NT</t>
        </is>
      </c>
      <c r="C338" s="59" t="inlineStr">
        <is>
          <t>OPVAL</t>
        </is>
      </c>
      <c r="D338" s="63">
        <v>2026</v>
      </c>
      <c r="E338" s="63" t="inlineStr">
        <is>
          <t>P3A</t>
        </is>
      </c>
      <c r="F338" s="59" t="inlineStr">
        <is>
          <t>213 Seamist Court</t>
        </is>
      </c>
      <c r="G338" s="59" t="inlineStr">
        <is>
          <t>No Table</t>
        </is>
      </c>
      <c r="H338" s="62"/>
      <c r="I338" s="59">
        <v>14</v>
      </c>
      <c r="J338" s="66">
        <v>850000</v>
      </c>
      <c r="K338" s="66">
        <v>795000</v>
      </c>
      <c r="L338" s="66">
        <v>790000</v>
      </c>
      <c r="M338" s="63" t="inlineStr">
        <is>
          <t>No</t>
        </is>
      </c>
      <c r="N338" s="59" t="inlineStr">
        <is>
          <t>Replacement</t>
        </is>
      </c>
      <c r="O338" s="59" t="inlineStr">
        <is>
          <t>EXCLUDE</t>
        </is>
      </c>
      <c r="P338" s="59">
        <v>8</v>
      </c>
      <c r="Q338" s="59">
        <v>18</v>
      </c>
      <c r="R338" s="59" t="inlineStr">
        <is>
          <t>EXCLUDE / REPLACE — material Subject transaction-state reconstruction error: approximately 273 DOM reconstructed instead of approximately 237 DOM and used in transaction reasoning.</t>
        </is>
      </c>
      <c r="S338" s="59" t="inlineStr">
        <is>
          <t>Full ER</t>
        </is>
      </c>
    </row>
    <row r="339" spans="1:19" s="59" customFormat="1" ht="42.75">
      <c r="A339" s="59" t="inlineStr">
        <is>
          <t>OPVAL-P3A-S0-NT-E015</t>
        </is>
      </c>
      <c r="B339" s="59" t="inlineStr">
        <is>
          <t>OPVAL-P3A-S0-NT</t>
        </is>
      </c>
      <c r="C339" s="59" t="inlineStr">
        <is>
          <t>OPVAL</t>
        </is>
      </c>
      <c r="D339" s="63">
        <v>2026</v>
      </c>
      <c r="E339" s="63" t="inlineStr">
        <is>
          <t>P3A</t>
        </is>
      </c>
      <c r="F339" s="59" t="inlineStr">
        <is>
          <t>213 Seamist Court</t>
        </is>
      </c>
      <c r="G339" s="59" t="inlineStr">
        <is>
          <t>No Table</t>
        </is>
      </c>
      <c r="H339" s="62"/>
      <c r="I339" s="59">
        <v>15</v>
      </c>
      <c r="J339" s="66">
        <v>825000</v>
      </c>
      <c r="K339" s="66">
        <v>800000</v>
      </c>
      <c r="L339" s="66">
        <v>790000</v>
      </c>
      <c r="M339" s="63" t="inlineStr">
        <is>
          <t>No</t>
        </is>
      </c>
      <c r="N339" s="59" t="inlineStr">
        <is>
          <t>Replacement</t>
        </is>
      </c>
      <c r="O339" s="59" t="inlineStr">
        <is>
          <t>EXCLUDE</t>
        </is>
      </c>
      <c r="P339" s="59">
        <v>10</v>
      </c>
      <c r="Q339" s="59">
        <v>19</v>
      </c>
      <c r="R339" s="59" t="inlineStr">
        <is>
          <t>EXCLUDE / REPLACE — material Subject transaction-state reconstruction error: approximately 273 DOM reconstructed instead of approximately 237 DOM and used in transaction reasoning.</t>
        </is>
      </c>
      <c r="S339" s="59" t="inlineStr">
        <is>
          <t>Full ER</t>
        </is>
      </c>
    </row>
    <row r="340" spans="1:19" hidden="1">
      <c r="A340" t="inlineStr">
        <is>
          <t>OPVAL-P3A-S0-NT-E016</t>
        </is>
      </c>
      <c r="B340" t="inlineStr">
        <is>
          <t>OPVAL-P3A-S0-NT</t>
        </is>
      </c>
      <c r="C340" t="inlineStr">
        <is>
          <t>OPVAL</t>
        </is>
      </c>
      <c r="D340" s="56">
        <v>2026</v>
      </c>
      <c r="E340" s="56" t="inlineStr">
        <is>
          <t>P3A</t>
        </is>
      </c>
      <c r="F340" t="inlineStr">
        <is>
          <t>213 Seamist Court</t>
        </is>
      </c>
      <c r="G340" t="inlineStr">
        <is>
          <t>No Table</t>
        </is>
      </c>
      <c r="H340" s="62">
        <v>6</v>
      </c>
      <c r="I340">
        <v>16</v>
      </c>
      <c r="J340" s="65">
        <v>830000</v>
      </c>
      <c r="K340" s="65">
        <v>795000</v>
      </c>
      <c r="L340" s="65">
        <v>790000</v>
      </c>
      <c r="M340" s="56" t="inlineStr">
        <is>
          <t>Yes</t>
        </is>
      </c>
      <c r="N340" t="inlineStr">
        <is>
          <t>Replacement</t>
        </is>
      </c>
      <c r="O340" t="inlineStr">
        <is>
          <t>QUALIFY</t>
        </is>
      </c>
      <c r="P340">
        <v>12</v>
      </c>
      <c r="R340" t="inlineStr">
        <is>
          <t>PASS — qualifying replacement completing R6→R12 lineage; decision-material Subject state and listing history reconstructed correctly.</t>
        </is>
      </c>
      <c r="S340" t="inlineStr">
        <is>
          <t>Full ER</t>
        </is>
      </c>
    </row>
    <row r="341" spans="1:19" s="59" customFormat="1" ht="42.75">
      <c r="A341" s="59" t="inlineStr">
        <is>
          <t>OPVAL-P3A-S0-NT-E017</t>
        </is>
      </c>
      <c r="B341" s="59" t="inlineStr">
        <is>
          <t>OPVAL-P3A-S0-NT</t>
        </is>
      </c>
      <c r="C341" s="59" t="inlineStr">
        <is>
          <t>OPVAL</t>
        </is>
      </c>
      <c r="D341" s="63">
        <v>2026</v>
      </c>
      <c r="E341" s="63" t="inlineStr">
        <is>
          <t>P3A</t>
        </is>
      </c>
      <c r="F341" s="59" t="inlineStr">
        <is>
          <t>213 Seamist Court</t>
        </is>
      </c>
      <c r="G341" s="59" t="inlineStr">
        <is>
          <t>No Table</t>
        </is>
      </c>
      <c r="H341" s="62"/>
      <c r="I341" s="59">
        <v>17</v>
      </c>
      <c r="J341" s="66">
        <v>850000</v>
      </c>
      <c r="K341" s="66">
        <v>795000</v>
      </c>
      <c r="L341" s="66">
        <v>790000</v>
      </c>
      <c r="M341" s="63" t="inlineStr">
        <is>
          <t>No</t>
        </is>
      </c>
      <c r="N341" s="59" t="inlineStr">
        <is>
          <t>Replacement</t>
        </is>
      </c>
      <c r="O341" s="59" t="inlineStr">
        <is>
          <t>EXCLUDE</t>
        </is>
      </c>
      <c r="P341" s="59">
        <v>13</v>
      </c>
      <c r="Q341" s="59">
        <v>20</v>
      </c>
      <c r="R341" s="59" t="inlineStr">
        <is>
          <t>EXCLUDE / REPLACE — material Subject listing-state reconstruction error: original list reconstructed as $985,000 rather than $885,000 and repeatedly used in transaction reasoning.</t>
        </is>
      </c>
      <c r="S341" s="59" t="inlineStr">
        <is>
          <t>Full ER</t>
        </is>
      </c>
    </row>
    <row r="342" spans="1:19" s="59" customFormat="1" ht="42.75">
      <c r="A342" s="59" t="inlineStr">
        <is>
          <t>OPVAL-P3A-S0-NT-E018</t>
        </is>
      </c>
      <c r="B342" s="59" t="inlineStr">
        <is>
          <t>OPVAL-P3A-S0-NT</t>
        </is>
      </c>
      <c r="C342" s="59" t="inlineStr">
        <is>
          <t>OPVAL</t>
        </is>
      </c>
      <c r="D342" s="63">
        <v>2026</v>
      </c>
      <c r="E342" s="63" t="inlineStr">
        <is>
          <t>P3A</t>
        </is>
      </c>
      <c r="F342" s="59" t="inlineStr">
        <is>
          <t>213 Seamist Court</t>
        </is>
      </c>
      <c r="G342" s="59" t="inlineStr">
        <is>
          <t>No Table</t>
        </is>
      </c>
      <c r="H342" s="62"/>
      <c r="I342" s="59">
        <v>18</v>
      </c>
      <c r="J342" s="66">
        <v>820000</v>
      </c>
      <c r="K342" s="66">
        <v>795000</v>
      </c>
      <c r="L342" s="66">
        <v>790000</v>
      </c>
      <c r="M342" s="63" t="inlineStr">
        <is>
          <t>No</t>
        </is>
      </c>
      <c r="N342" s="59" t="inlineStr">
        <is>
          <t>Replacement</t>
        </is>
      </c>
      <c r="O342" s="59" t="inlineStr">
        <is>
          <t>EXCLUDE</t>
        </is>
      </c>
      <c r="P342" s="59">
        <v>14</v>
      </c>
      <c r="Q342" s="59">
        <v>21</v>
      </c>
      <c r="R342" s="59" t="inlineStr">
        <is>
          <t>EXCLUDE / REPLACE — material Subject transaction-state reconstruction error: approximately 273 DOM reconstructed instead of approximately 237 DOM and used in transaction reasoning.</t>
        </is>
      </c>
      <c r="S342" s="59" t="inlineStr">
        <is>
          <t>Full ER</t>
        </is>
      </c>
    </row>
    <row r="343" spans="1:19" hidden="1">
      <c r="A343" t="inlineStr">
        <is>
          <t>OPVAL-P3A-S0-NT-E019</t>
        </is>
      </c>
      <c r="B343" t="inlineStr">
        <is>
          <t>OPVAL-P3A-S0-NT</t>
        </is>
      </c>
      <c r="C343" t="inlineStr">
        <is>
          <t>OPVAL</t>
        </is>
      </c>
      <c r="D343" s="56">
        <v>2026</v>
      </c>
      <c r="E343" s="56" t="inlineStr">
        <is>
          <t>P3A</t>
        </is>
      </c>
      <c r="F343" t="inlineStr">
        <is>
          <t>213 Seamist Court</t>
        </is>
      </c>
      <c r="G343" t="inlineStr">
        <is>
          <t>No Table</t>
        </is>
      </c>
      <c r="H343" s="62">
        <v>10</v>
      </c>
      <c r="I343">
        <v>19</v>
      </c>
      <c r="J343" s="65">
        <v>800000</v>
      </c>
      <c r="K343" s="65">
        <v>790000</v>
      </c>
      <c r="L343" s="65">
        <v>790000</v>
      </c>
      <c r="M343" s="56" t="inlineStr">
        <is>
          <t>Yes</t>
        </is>
      </c>
      <c r="N343" t="inlineStr">
        <is>
          <t>Replacement</t>
        </is>
      </c>
      <c r="O343" t="inlineStr">
        <is>
          <t>QUALIFY</t>
        </is>
      </c>
      <c r="P343">
        <v>15</v>
      </c>
      <c r="R343" t="inlineStr">
        <is>
          <t>PASS — qualifying replacement completing R10→R15 lineage. Flagged non-material comparable-field reconstruction discrepancy: 252 Seamist represented at approximately 2,016 SF rather than 2,006 SF.</t>
        </is>
      </c>
      <c r="S343" t="inlineStr">
        <is>
          <t>Full ER</t>
        </is>
      </c>
    </row>
    <row r="344" spans="1:19" hidden="1">
      <c r="A344" t="inlineStr">
        <is>
          <t>OPVAL-P3A-S0-NT-E020</t>
        </is>
      </c>
      <c r="B344" t="inlineStr">
        <is>
          <t>OPVAL-P3A-S0-NT</t>
        </is>
      </c>
      <c r="C344" t="inlineStr">
        <is>
          <t>OPVAL</t>
        </is>
      </c>
      <c r="D344" s="56">
        <v>2026</v>
      </c>
      <c r="E344" s="56" t="inlineStr">
        <is>
          <t>P3A</t>
        </is>
      </c>
      <c r="F344" t="inlineStr">
        <is>
          <t>213 Seamist Court</t>
        </is>
      </c>
      <c r="G344" t="inlineStr">
        <is>
          <t>No Table</t>
        </is>
      </c>
      <c r="H344" s="62">
        <v>7</v>
      </c>
      <c r="I344">
        <v>20</v>
      </c>
      <c r="J344" s="65">
        <v>840000</v>
      </c>
      <c r="K344" s="65">
        <v>795000</v>
      </c>
      <c r="L344" s="65">
        <v>790000</v>
      </c>
      <c r="M344" s="56" t="inlineStr">
        <is>
          <t>Yes</t>
        </is>
      </c>
      <c r="N344" t="inlineStr">
        <is>
          <t>Replacement</t>
        </is>
      </c>
      <c r="O344" t="inlineStr">
        <is>
          <t>QUALIFY</t>
        </is>
      </c>
      <c r="P344">
        <v>17</v>
      </c>
      <c r="R344" t="inlineStr">
        <is>
          <t>PASS — qualifying replacement completing R7→R13→R17 lineage. Flagged non-material comparable reconstruction discrepancies, including 252 Seamist represented at approximately 2,816 SF rather than 2,006 SF, 265 Patrick Mill at approximately 2,135 SF rather than 2,323 SF, and 140 Crosscove described as lacking a private pool. Retained under established decision-materiality QC standard.</t>
        </is>
      </c>
      <c r="S344" t="inlineStr">
        <is>
          <t>Full ER</t>
        </is>
      </c>
    </row>
    <row r="345" spans="1:19" hidden="1">
      <c r="A345" t="inlineStr">
        <is>
          <t>OPVAL-P3A-S0-NT-E021</t>
        </is>
      </c>
      <c r="B345" t="inlineStr">
        <is>
          <t>OPVAL-P3A-S0-NT</t>
        </is>
      </c>
      <c r="C345" t="inlineStr">
        <is>
          <t>OPVAL</t>
        </is>
      </c>
      <c r="D345" s="56">
        <v>2026</v>
      </c>
      <c r="E345" s="56" t="inlineStr">
        <is>
          <t>P3A</t>
        </is>
      </c>
      <c r="F345" t="inlineStr">
        <is>
          <t>213 Seamist Court</t>
        </is>
      </c>
      <c r="G345" t="inlineStr">
        <is>
          <t>No Table</t>
        </is>
      </c>
      <c r="H345" s="62">
        <v>8</v>
      </c>
      <c r="I345">
        <v>21</v>
      </c>
      <c r="J345" s="65">
        <v>845000</v>
      </c>
      <c r="K345" s="65">
        <v>790000</v>
      </c>
      <c r="L345" s="65">
        <v>790000</v>
      </c>
      <c r="M345" s="56" t="inlineStr">
        <is>
          <t>Yes</t>
        </is>
      </c>
      <c r="N345" t="inlineStr">
        <is>
          <t>Replacement</t>
        </is>
      </c>
      <c r="O345" t="inlineStr">
        <is>
          <t>QUALIFY</t>
        </is>
      </c>
      <c r="P345">
        <v>18</v>
      </c>
      <c r="R345" t="inlineStr">
        <is>
          <t>PASS — qualifying replacement completing R8→R14→R18 lineage; decision-material Subject state and listing history reconstructed correctly.</t>
        </is>
      </c>
      <c r="S345" t="inlineStr">
        <is>
          <t>Full ER</t>
        </is>
      </c>
    </row>
    <row r="346" spans="1:19" hidden="1">
      <c r="A346" t="inlineStr">
        <is>
          <t>OPVAL-P4A-S0-NT-E001</t>
        </is>
      </c>
      <c r="B346" t="inlineStr">
        <is>
          <t>OPVAL-P4A-S0-NT</t>
        </is>
      </c>
      <c r="C346" t="inlineStr">
        <is>
          <t>OPVAL</t>
        </is>
      </c>
      <c r="D346" s="56">
        <v>2026</v>
      </c>
      <c r="E346" s="56" t="inlineStr">
        <is>
          <t>P4A</t>
        </is>
      </c>
      <c r="F346" t="inlineStr">
        <is>
          <t>144 Crosscove Circle</t>
        </is>
      </c>
      <c r="G346" t="inlineStr">
        <is>
          <t>No Table</t>
        </is>
      </c>
      <c r="H346" s="62">
        <v>1</v>
      </c>
      <c r="I346">
        <v>1</v>
      </c>
      <c r="J346" s="65">
        <v>780000</v>
      </c>
      <c r="K346" s="65">
        <v>750000</v>
      </c>
      <c r="L346" s="65">
        <v>749900</v>
      </c>
      <c r="M346" s="56" t="inlineStr">
        <is>
          <t>Yes</t>
        </is>
      </c>
      <c r="N346" t="inlineStr">
        <is>
          <t>Original</t>
        </is>
      </c>
      <c r="O346" t="inlineStr">
        <is>
          <t>QUALIFY</t>
        </is>
      </c>
      <c r="S346" t="inlineStr">
        <is>
          <t>Full ER</t>
        </is>
      </c>
    </row>
    <row r="347" spans="1:19" s="59" customFormat="1" ht="42.75">
      <c r="A347" s="59" t="inlineStr">
        <is>
          <t>OPVAL-P4A-S0-NT-E002</t>
        </is>
      </c>
      <c r="B347" s="59" t="inlineStr">
        <is>
          <t>OPVAL-P4A-S0-NT</t>
        </is>
      </c>
      <c r="C347" s="59" t="inlineStr">
        <is>
          <t>OPVAL</t>
        </is>
      </c>
      <c r="D347" s="63">
        <v>2026</v>
      </c>
      <c r="E347" s="63" t="inlineStr">
        <is>
          <t>P4A</t>
        </is>
      </c>
      <c r="F347" s="59" t="inlineStr">
        <is>
          <t>144 Crosscove Circle</t>
        </is>
      </c>
      <c r="G347" s="59" t="inlineStr">
        <is>
          <t>No Table</t>
        </is>
      </c>
      <c r="H347" s="62"/>
      <c r="I347" s="59">
        <v>2</v>
      </c>
      <c r="J347" s="66">
        <v>850000</v>
      </c>
      <c r="K347" s="66">
        <v>790000</v>
      </c>
      <c r="L347" s="66">
        <v>749900</v>
      </c>
      <c r="M347" s="63" t="inlineStr">
        <is>
          <t>No</t>
        </is>
      </c>
      <c r="N347" s="59" t="inlineStr">
        <is>
          <t>Original</t>
        </is>
      </c>
      <c r="O347" s="59" t="inlineStr">
        <is>
          <t>EXCLUDE</t>
        </is>
      </c>
      <c r="Q347" s="59">
        <v>12</v>
      </c>
      <c r="R347" s="59" t="inlineStr">
        <is>
          <t>EXCLUDE / REPLACE — material Subject-state reconstruction error: Subject reconstructed at approximately 2,603 SF rather than 2,000 SF and the erroneous larger footprint was used in comparative reasoning.</t>
        </is>
      </c>
      <c r="S347" s="59" t="inlineStr">
        <is>
          <t>Full ER</t>
        </is>
      </c>
    </row>
    <row r="348" spans="1:19" hidden="1">
      <c r="A348" t="inlineStr">
        <is>
          <t>OPVAL-P4A-S0-NT-E003</t>
        </is>
      </c>
      <c r="B348" t="inlineStr">
        <is>
          <t>OPVAL-P4A-S0-NT</t>
        </is>
      </c>
      <c r="C348" t="inlineStr">
        <is>
          <t>OPVAL</t>
        </is>
      </c>
      <c r="D348" s="56">
        <v>2026</v>
      </c>
      <c r="E348" s="56" t="inlineStr">
        <is>
          <t>P4A</t>
        </is>
      </c>
      <c r="F348" t="inlineStr">
        <is>
          <t>144 Crosscove Circle</t>
        </is>
      </c>
      <c r="G348" t="inlineStr">
        <is>
          <t>No Table</t>
        </is>
      </c>
      <c r="H348" s="62">
        <v>3</v>
      </c>
      <c r="I348">
        <v>3</v>
      </c>
      <c r="J348" s="65">
        <v>765000</v>
      </c>
      <c r="K348" s="65">
        <v>755000</v>
      </c>
      <c r="L348" s="65">
        <v>749900</v>
      </c>
      <c r="M348" s="56" t="inlineStr">
        <is>
          <t>Yes</t>
        </is>
      </c>
      <c r="N348" t="inlineStr">
        <is>
          <t>Original</t>
        </is>
      </c>
      <c r="O348" t="inlineStr">
        <is>
          <t>QUALIFY</t>
        </is>
      </c>
      <c r="S348" t="inlineStr">
        <is>
          <t>Full ER</t>
        </is>
      </c>
    </row>
    <row r="349" spans="1:19" s="59" customFormat="1" ht="42.75">
      <c r="A349" s="59" t="inlineStr">
        <is>
          <t>OPVAL-P4A-S0-NT-E004</t>
        </is>
      </c>
      <c r="B349" s="59" t="inlineStr">
        <is>
          <t>OPVAL-P4A-S0-NT</t>
        </is>
      </c>
      <c r="C349" s="59" t="inlineStr">
        <is>
          <t>OPVAL</t>
        </is>
      </c>
      <c r="D349" s="63">
        <v>2026</v>
      </c>
      <c r="E349" s="63" t="inlineStr">
        <is>
          <t>P4A</t>
        </is>
      </c>
      <c r="F349" s="59" t="inlineStr">
        <is>
          <t>144 Crosscove Circle</t>
        </is>
      </c>
      <c r="G349" s="59" t="inlineStr">
        <is>
          <t>No Table</t>
        </is>
      </c>
      <c r="H349" s="62"/>
      <c r="I349" s="59">
        <v>4</v>
      </c>
      <c r="J349" s="66">
        <v>875000</v>
      </c>
      <c r="K349" s="66">
        <v>850000</v>
      </c>
      <c r="L349" s="66">
        <v>749900</v>
      </c>
      <c r="M349" s="63" t="inlineStr">
        <is>
          <t>No</t>
        </is>
      </c>
      <c r="N349" s="59" t="inlineStr">
        <is>
          <t>Original</t>
        </is>
      </c>
      <c r="O349" s="59" t="inlineStr">
        <is>
          <t>EXCLUDE</t>
        </is>
      </c>
      <c r="Q349" s="59">
        <v>13</v>
      </c>
      <c r="R349" s="59" t="inlineStr">
        <is>
          <t>EXCLUDE / REPLACE — material Subject-state reconstruction error: Subject reconstructed at approximately 2,633 SF rather than 2,000 SF and the erroneous larger footprint was used in comparative reasoning.</t>
        </is>
      </c>
      <c r="S349" s="59" t="inlineStr">
        <is>
          <t>Full ER</t>
        </is>
      </c>
    </row>
    <row r="350" spans="1:19" hidden="1">
      <c r="A350" t="inlineStr">
        <is>
          <t>OPVAL-P4A-S0-NT-E005</t>
        </is>
      </c>
      <c r="B350" t="inlineStr">
        <is>
          <t>OPVAL-P4A-S0-NT</t>
        </is>
      </c>
      <c r="C350" t="inlineStr">
        <is>
          <t>OPVAL</t>
        </is>
      </c>
      <c r="D350" s="56">
        <v>2026</v>
      </c>
      <c r="E350" s="56" t="inlineStr">
        <is>
          <t>P4A</t>
        </is>
      </c>
      <c r="F350" t="inlineStr">
        <is>
          <t>144 Crosscove Circle</t>
        </is>
      </c>
      <c r="G350" t="inlineStr">
        <is>
          <t>No Table</t>
        </is>
      </c>
      <c r="H350" s="62">
        <v>5</v>
      </c>
      <c r="I350">
        <v>5</v>
      </c>
      <c r="J350" s="65">
        <v>800000</v>
      </c>
      <c r="K350" s="65">
        <v>775000</v>
      </c>
      <c r="L350" s="65">
        <v>749900</v>
      </c>
      <c r="M350" s="56" t="inlineStr">
        <is>
          <t>Yes</t>
        </is>
      </c>
      <c r="N350" t="inlineStr">
        <is>
          <t>Original</t>
        </is>
      </c>
      <c r="O350" t="inlineStr">
        <is>
          <t>QUALIFY</t>
        </is>
      </c>
      <c r="S350" t="inlineStr">
        <is>
          <t>Full ER</t>
        </is>
      </c>
    </row>
    <row r="351" spans="1:19" s="59" customFormat="1" ht="57">
      <c r="A351" s="59" t="inlineStr">
        <is>
          <t>OPVAL-P4A-S0-NT-E006</t>
        </is>
      </c>
      <c r="B351" s="59" t="inlineStr">
        <is>
          <t>OPVAL-P4A-S0-NT</t>
        </is>
      </c>
      <c r="C351" s="59" t="inlineStr">
        <is>
          <t>OPVAL</t>
        </is>
      </c>
      <c r="D351" s="63">
        <v>2026</v>
      </c>
      <c r="E351" s="63" t="inlineStr">
        <is>
          <t>P4A</t>
        </is>
      </c>
      <c r="F351" s="59" t="inlineStr">
        <is>
          <t>144 Crosscove Circle</t>
        </is>
      </c>
      <c r="G351" s="59" t="inlineStr">
        <is>
          <t>No Table</t>
        </is>
      </c>
      <c r="H351" s="62"/>
      <c r="I351" s="59">
        <v>6</v>
      </c>
      <c r="J351" s="66"/>
      <c r="K351" s="66"/>
      <c r="L351" s="66">
        <v>749900</v>
      </c>
      <c r="M351" s="63" t="inlineStr">
        <is>
          <t>No</t>
        </is>
      </c>
      <c r="N351" s="59" t="inlineStr">
        <is>
          <t>Original</t>
        </is>
      </c>
      <c r="O351" s="59" t="inlineStr">
        <is>
          <t>EXCLUDE</t>
        </is>
      </c>
      <c r="Q351" s="59">
        <v>11</v>
      </c>
      <c r="R351" s="59" t="inlineStr">
        <is>
          <t>EXCLUDE / REPLACE — protocol-interpretation non-execution. DF incorrectly treated visible completed-sale outcomes for comparables as failure of the Subject outcome-redaction control and produced no valuation output.</t>
        </is>
      </c>
      <c r="S351" s="59" t="inlineStr">
        <is>
          <t>Full ER</t>
        </is>
      </c>
    </row>
    <row r="352" spans="1:19" hidden="1">
      <c r="A352" t="inlineStr">
        <is>
          <t>OPVAL-P4A-S0-NT-E007</t>
        </is>
      </c>
      <c r="B352" t="inlineStr">
        <is>
          <t>OPVAL-P4A-S0-NT</t>
        </is>
      </c>
      <c r="C352" t="inlineStr">
        <is>
          <t>OPVAL</t>
        </is>
      </c>
      <c r="D352" s="56">
        <v>2026</v>
      </c>
      <c r="E352" s="56" t="inlineStr">
        <is>
          <t>P4A</t>
        </is>
      </c>
      <c r="F352" t="inlineStr">
        <is>
          <t>144 Crosscove Circle</t>
        </is>
      </c>
      <c r="G352" t="inlineStr">
        <is>
          <t>No Table</t>
        </is>
      </c>
      <c r="H352" s="62">
        <v>7</v>
      </c>
      <c r="I352">
        <v>7</v>
      </c>
      <c r="J352" s="65">
        <v>775000</v>
      </c>
      <c r="K352" s="65">
        <v>760000</v>
      </c>
      <c r="L352" s="65">
        <v>749900</v>
      </c>
      <c r="M352" s="56" t="inlineStr">
        <is>
          <t>Yes</t>
        </is>
      </c>
      <c r="N352" t="inlineStr">
        <is>
          <t>Original</t>
        </is>
      </c>
      <c r="O352" t="inlineStr">
        <is>
          <t>QUALIFY</t>
        </is>
      </c>
      <c r="S352" t="inlineStr">
        <is>
          <t>Full ER</t>
        </is>
      </c>
    </row>
    <row r="353" spans="1:19" hidden="1">
      <c r="A353" t="inlineStr">
        <is>
          <t>OPVAL-P4A-S0-NT-E008</t>
        </is>
      </c>
      <c r="B353" t="inlineStr">
        <is>
          <t>OPVAL-P4A-S0-NT</t>
        </is>
      </c>
      <c r="C353" t="inlineStr">
        <is>
          <t>OPVAL</t>
        </is>
      </c>
      <c r="D353" s="56">
        <v>2026</v>
      </c>
      <c r="E353" s="56" t="inlineStr">
        <is>
          <t>P4A</t>
        </is>
      </c>
      <c r="F353" t="inlineStr">
        <is>
          <t>144 Crosscove Circle</t>
        </is>
      </c>
      <c r="G353" t="inlineStr">
        <is>
          <t>No Table</t>
        </is>
      </c>
      <c r="H353" s="62">
        <v>8</v>
      </c>
      <c r="I353">
        <v>8</v>
      </c>
      <c r="J353" s="65">
        <v>755000</v>
      </c>
      <c r="K353" s="65">
        <v>750000</v>
      </c>
      <c r="L353" s="65">
        <v>749900</v>
      </c>
      <c r="M353" s="56" t="inlineStr">
        <is>
          <t>Yes</t>
        </is>
      </c>
      <c r="N353" t="inlineStr">
        <is>
          <t>Original</t>
        </is>
      </c>
      <c r="O353" t="inlineStr">
        <is>
          <t>QUALIFY</t>
        </is>
      </c>
      <c r="S353" t="inlineStr">
        <is>
          <t>Full ER</t>
        </is>
      </c>
    </row>
    <row r="354" spans="1:19" hidden="1">
      <c r="A354" t="inlineStr">
        <is>
          <t>OPVAL-P4A-S0-NT-E009</t>
        </is>
      </c>
      <c r="B354" t="inlineStr">
        <is>
          <t>OPVAL-P4A-S0-NT</t>
        </is>
      </c>
      <c r="C354" t="inlineStr">
        <is>
          <t>OPVAL</t>
        </is>
      </c>
      <c r="D354" s="56">
        <v>2026</v>
      </c>
      <c r="E354" s="56" t="inlineStr">
        <is>
          <t>P4A</t>
        </is>
      </c>
      <c r="F354" t="inlineStr">
        <is>
          <t>144 Crosscove Circle</t>
        </is>
      </c>
      <c r="G354" t="inlineStr">
        <is>
          <t>No Table</t>
        </is>
      </c>
      <c r="H354" s="62">
        <v>9</v>
      </c>
      <c r="I354">
        <v>9</v>
      </c>
      <c r="J354" s="65">
        <v>775000</v>
      </c>
      <c r="K354" s="65">
        <v>765000</v>
      </c>
      <c r="L354" s="65">
        <v>749900</v>
      </c>
      <c r="M354" s="56" t="inlineStr">
        <is>
          <t>Yes</t>
        </is>
      </c>
      <c r="N354" t="inlineStr">
        <is>
          <t>Original</t>
        </is>
      </c>
      <c r="O354" t="inlineStr">
        <is>
          <t>QUALIFY</t>
        </is>
      </c>
      <c r="S354" t="inlineStr">
        <is>
          <t>Full ER</t>
        </is>
      </c>
    </row>
    <row r="355" spans="1:19" hidden="1">
      <c r="A355" t="inlineStr">
        <is>
          <t>OPVAL-P4A-S0-NT-E010</t>
        </is>
      </c>
      <c r="B355" t="inlineStr">
        <is>
          <t>OPVAL-P4A-S0-NT</t>
        </is>
      </c>
      <c r="C355" t="inlineStr">
        <is>
          <t>OPVAL</t>
        </is>
      </c>
      <c r="D355" s="56">
        <v>2026</v>
      </c>
      <c r="E355" s="56" t="inlineStr">
        <is>
          <t>P4A</t>
        </is>
      </c>
      <c r="F355" t="inlineStr">
        <is>
          <t>144 Crosscove Circle</t>
        </is>
      </c>
      <c r="G355" t="inlineStr">
        <is>
          <t>No Table</t>
        </is>
      </c>
      <c r="H355" s="62">
        <v>10</v>
      </c>
      <c r="I355">
        <v>10</v>
      </c>
      <c r="J355" s="65">
        <v>755000</v>
      </c>
      <c r="K355" s="65">
        <v>760000</v>
      </c>
      <c r="L355" s="65">
        <v>749900</v>
      </c>
      <c r="M355" s="56" t="inlineStr">
        <is>
          <t>Yes</t>
        </is>
      </c>
      <c r="N355" t="inlineStr">
        <is>
          <t>Original</t>
        </is>
      </c>
      <c r="O355" t="inlineStr">
        <is>
          <t>QUALIFY</t>
        </is>
      </c>
      <c r="S355" t="inlineStr">
        <is>
          <t>Full ER</t>
        </is>
      </c>
    </row>
    <row r="356" spans="1:19" hidden="1">
      <c r="A356" t="inlineStr">
        <is>
          <t>OPVAL-P4A-S0-NT-E011</t>
        </is>
      </c>
      <c r="B356" t="inlineStr">
        <is>
          <t>OPVAL-P4A-S0-NT</t>
        </is>
      </c>
      <c r="C356" t="inlineStr">
        <is>
          <t>OPVAL</t>
        </is>
      </c>
      <c r="D356" s="56">
        <v>2026</v>
      </c>
      <c r="E356" s="56" t="inlineStr">
        <is>
          <t>P4A</t>
        </is>
      </c>
      <c r="F356" t="inlineStr">
        <is>
          <t>144 Crosscove Circle</t>
        </is>
      </c>
      <c r="G356" t="inlineStr">
        <is>
          <t>No Table</t>
        </is>
      </c>
      <c r="H356" s="62">
        <v>6</v>
      </c>
      <c r="I356">
        <v>11</v>
      </c>
      <c r="J356" s="65">
        <v>755000</v>
      </c>
      <c r="K356" s="65">
        <v>755000</v>
      </c>
      <c r="L356" s="65">
        <v>749900</v>
      </c>
      <c r="M356" s="56" t="inlineStr">
        <is>
          <t>Yes</t>
        </is>
      </c>
      <c r="N356" t="inlineStr">
        <is>
          <t>Replacement</t>
        </is>
      </c>
      <c r="O356" t="inlineStr">
        <is>
          <t>QUALIFY</t>
        </is>
      </c>
      <c r="P356">
        <v>6</v>
      </c>
      <c r="R356" t="inlineStr">
        <is>
          <t>PASS — qualifying replacement for R6; full valuation executed with Subject outcome properly treated as redacted.</t>
        </is>
      </c>
      <c r="S356" t="inlineStr">
        <is>
          <t>Full ER</t>
        </is>
      </c>
    </row>
    <row r="357" spans="1:19" hidden="1">
      <c r="A357" t="inlineStr">
        <is>
          <t>OPVAL-P4A-S0-NT-E012</t>
        </is>
      </c>
      <c r="B357" t="inlineStr">
        <is>
          <t>OPVAL-P4A-S0-NT</t>
        </is>
      </c>
      <c r="C357" t="inlineStr">
        <is>
          <t>OPVAL</t>
        </is>
      </c>
      <c r="D357" s="56">
        <v>2026</v>
      </c>
      <c r="E357" s="56" t="inlineStr">
        <is>
          <t>P4A</t>
        </is>
      </c>
      <c r="F357" t="inlineStr">
        <is>
          <t>144 Crosscove Circle</t>
        </is>
      </c>
      <c r="G357" t="inlineStr">
        <is>
          <t>No Table</t>
        </is>
      </c>
      <c r="H357" s="62">
        <v>2</v>
      </c>
      <c r="I357">
        <v>12</v>
      </c>
      <c r="J357" s="65">
        <v>775000</v>
      </c>
      <c r="K357" s="65">
        <v>765000</v>
      </c>
      <c r="L357" s="65">
        <v>749900</v>
      </c>
      <c r="M357" s="56" t="inlineStr">
        <is>
          <t>Yes</t>
        </is>
      </c>
      <c r="N357" t="inlineStr">
        <is>
          <t>Replacement</t>
        </is>
      </c>
      <c r="O357" t="inlineStr">
        <is>
          <t>QUALIFY</t>
        </is>
      </c>
      <c r="P357">
        <v>2</v>
      </c>
      <c r="R357" t="inlineStr">
        <is>
          <t>PASS — qualifying replacement for R2; decision-material Subject state and three-day transaction chronology reconstructed correctly.</t>
        </is>
      </c>
      <c r="S357" t="inlineStr">
        <is>
          <t>Full ER</t>
        </is>
      </c>
    </row>
    <row r="358" spans="1:19" hidden="1">
      <c r="A358" t="inlineStr">
        <is>
          <t>OPVAL-P4A-S0-NT-E013</t>
        </is>
      </c>
      <c r="B358" t="inlineStr">
        <is>
          <t>OPVAL-P4A-S0-NT</t>
        </is>
      </c>
      <c r="C358" t="inlineStr">
        <is>
          <t>OPVAL</t>
        </is>
      </c>
      <c r="D358" s="56">
        <v>2026</v>
      </c>
      <c r="E358" s="56" t="inlineStr">
        <is>
          <t>P4A</t>
        </is>
      </c>
      <c r="F358" t="inlineStr">
        <is>
          <t>144 Crosscove Circle</t>
        </is>
      </c>
      <c r="G358" t="inlineStr">
        <is>
          <t>No Table</t>
        </is>
      </c>
      <c r="H358" s="62">
        <v>4</v>
      </c>
      <c r="I358">
        <v>13</v>
      </c>
      <c r="J358" s="65">
        <v>775000</v>
      </c>
      <c r="K358" s="65">
        <v>755000</v>
      </c>
      <c r="L358" s="65">
        <v>749900</v>
      </c>
      <c r="M358" s="56" t="inlineStr">
        <is>
          <t>Yes</t>
        </is>
      </c>
      <c r="N358" t="inlineStr">
        <is>
          <t>Replacement</t>
        </is>
      </c>
      <c r="O358" t="inlineStr">
        <is>
          <t>QUALIFY</t>
        </is>
      </c>
      <c r="P358">
        <v>4</v>
      </c>
      <c r="R358" t="inlineStr">
        <is>
          <t>PASS — retrospective QC review of original DSS-only frozen ER; replacement for R4; no material discrepancy identified.</t>
        </is>
      </c>
      <c r="S358" t="inlineStr">
        <is>
          <t>Full ER</t>
        </is>
      </c>
    </row>
    <row r="359" spans="1:19" hidden="1">
      <c r="A359" t="inlineStr">
        <is>
          <t>OPVAL-P5A-S0-NT-E001</t>
        </is>
      </c>
      <c r="B359" t="inlineStr">
        <is>
          <t>OPVAL-P5A-S0-NT</t>
        </is>
      </c>
      <c r="C359" t="inlineStr">
        <is>
          <t>OPVAL</t>
        </is>
      </c>
      <c r="D359" s="56">
        <v>2026</v>
      </c>
      <c r="E359" s="56" t="inlineStr">
        <is>
          <t>P5A</t>
        </is>
      </c>
      <c r="F359" t="inlineStr">
        <is>
          <t>193 Crosscove Circle</t>
        </is>
      </c>
      <c r="G359" t="inlineStr">
        <is>
          <t>No Table</t>
        </is>
      </c>
      <c r="H359" s="62">
        <v>1</v>
      </c>
      <c r="I359">
        <v>1</v>
      </c>
      <c r="J359" s="65">
        <v>650000</v>
      </c>
      <c r="K359" s="65">
        <v>645000</v>
      </c>
      <c r="L359" s="65">
        <v>635000</v>
      </c>
      <c r="M359" s="56" t="inlineStr">
        <is>
          <t>Yes</t>
        </is>
      </c>
      <c r="N359" t="inlineStr">
        <is>
          <t>Original</t>
        </is>
      </c>
      <c r="O359" t="inlineStr">
        <is>
          <t>QUALIFY</t>
        </is>
      </c>
      <c r="S359" t="inlineStr">
        <is>
          <t>Full ER</t>
        </is>
      </c>
    </row>
    <row r="360" spans="1:19" hidden="1">
      <c r="A360" t="inlineStr">
        <is>
          <t>OPVAL-P5A-S0-NT-E002</t>
        </is>
      </c>
      <c r="B360" t="inlineStr">
        <is>
          <t>OPVAL-P5A-S0-NT</t>
        </is>
      </c>
      <c r="C360" t="inlineStr">
        <is>
          <t>OPVAL</t>
        </is>
      </c>
      <c r="D360" s="56">
        <v>2026</v>
      </c>
      <c r="E360" s="56" t="inlineStr">
        <is>
          <t>P5A</t>
        </is>
      </c>
      <c r="F360" t="inlineStr">
        <is>
          <t>193 Crosscove Circle</t>
        </is>
      </c>
      <c r="G360" t="inlineStr">
        <is>
          <t>No Table</t>
        </is>
      </c>
      <c r="H360" s="62">
        <v>2</v>
      </c>
      <c r="I360">
        <v>2</v>
      </c>
      <c r="J360" s="65">
        <v>665000</v>
      </c>
      <c r="K360" s="65">
        <v>650000</v>
      </c>
      <c r="L360" s="65">
        <v>635000</v>
      </c>
      <c r="M360" s="56" t="inlineStr">
        <is>
          <t>Yes</t>
        </is>
      </c>
      <c r="N360" t="inlineStr">
        <is>
          <t>Original</t>
        </is>
      </c>
      <c r="O360" t="inlineStr">
        <is>
          <t>QUALIFY</t>
        </is>
      </c>
      <c r="S360" t="inlineStr">
        <is>
          <t>Full ER</t>
        </is>
      </c>
    </row>
    <row r="361" spans="1:19" hidden="1">
      <c r="A361" t="inlineStr">
        <is>
          <t>OPVAL-P5A-S0-NT-E003</t>
        </is>
      </c>
      <c r="B361" t="inlineStr">
        <is>
          <t>OPVAL-P5A-S0-NT</t>
        </is>
      </c>
      <c r="C361" t="inlineStr">
        <is>
          <t>OPVAL</t>
        </is>
      </c>
      <c r="D361" s="56">
        <v>2026</v>
      </c>
      <c r="E361" s="56" t="inlineStr">
        <is>
          <t>P5A</t>
        </is>
      </c>
      <c r="F361" t="inlineStr">
        <is>
          <t>193 Crosscove Circle</t>
        </is>
      </c>
      <c r="G361" t="inlineStr">
        <is>
          <t>No Table</t>
        </is>
      </c>
      <c r="H361" s="62">
        <v>3</v>
      </c>
      <c r="I361">
        <v>3</v>
      </c>
      <c r="J361" s="65">
        <v>655000</v>
      </c>
      <c r="K361" s="65">
        <v>650000</v>
      </c>
      <c r="L361" s="65">
        <v>635000</v>
      </c>
      <c r="M361" s="56" t="inlineStr">
        <is>
          <t>Yes</t>
        </is>
      </c>
      <c r="N361" t="inlineStr">
        <is>
          <t>Original</t>
        </is>
      </c>
      <c r="O361" t="inlineStr">
        <is>
          <t>QUALIFY</t>
        </is>
      </c>
      <c r="S361" t="inlineStr">
        <is>
          <t>Full ER</t>
        </is>
      </c>
    </row>
    <row r="362" spans="1:19" hidden="1">
      <c r="A362" t="inlineStr">
        <is>
          <t>OPVAL-P5A-S0-NT-E004</t>
        </is>
      </c>
      <c r="B362" t="inlineStr">
        <is>
          <t>OPVAL-P5A-S0-NT</t>
        </is>
      </c>
      <c r="C362" t="inlineStr">
        <is>
          <t>OPVAL</t>
        </is>
      </c>
      <c r="D362" s="56">
        <v>2026</v>
      </c>
      <c r="E362" s="56" t="inlineStr">
        <is>
          <t>P5A</t>
        </is>
      </c>
      <c r="F362" t="inlineStr">
        <is>
          <t>193 Crosscove Circle</t>
        </is>
      </c>
      <c r="G362" t="inlineStr">
        <is>
          <t>No Table</t>
        </is>
      </c>
      <c r="H362" s="62">
        <v>4</v>
      </c>
      <c r="I362">
        <v>4</v>
      </c>
      <c r="J362" s="65">
        <v>660000</v>
      </c>
      <c r="K362" s="65">
        <v>650000</v>
      </c>
      <c r="L362" s="65">
        <v>635000</v>
      </c>
      <c r="M362" s="56" t="inlineStr">
        <is>
          <t>Yes</t>
        </is>
      </c>
      <c r="N362" t="inlineStr">
        <is>
          <t>Original</t>
        </is>
      </c>
      <c r="O362" t="inlineStr">
        <is>
          <t>QUALIFY</t>
        </is>
      </c>
      <c r="S362" t="inlineStr">
        <is>
          <t>Full ER</t>
        </is>
      </c>
    </row>
    <row r="363" spans="1:19" hidden="1">
      <c r="A363" t="inlineStr">
        <is>
          <t>OPVAL-P5A-S0-NT-E005</t>
        </is>
      </c>
      <c r="B363" t="inlineStr">
        <is>
          <t>OPVAL-P5A-S0-NT</t>
        </is>
      </c>
      <c r="C363" t="inlineStr">
        <is>
          <t>OPVAL</t>
        </is>
      </c>
      <c r="D363" s="56">
        <v>2026</v>
      </c>
      <c r="E363" s="56" t="inlineStr">
        <is>
          <t>P5A</t>
        </is>
      </c>
      <c r="F363" t="inlineStr">
        <is>
          <t>193 Crosscove Circle</t>
        </is>
      </c>
      <c r="G363" t="inlineStr">
        <is>
          <t>No Table</t>
        </is>
      </c>
      <c r="H363" s="62">
        <v>5</v>
      </c>
      <c r="I363">
        <v>5</v>
      </c>
      <c r="J363" s="65">
        <v>660000</v>
      </c>
      <c r="K363" s="65">
        <v>650000</v>
      </c>
      <c r="L363" s="65">
        <v>635000</v>
      </c>
      <c r="M363" s="56" t="inlineStr">
        <is>
          <t>Yes</t>
        </is>
      </c>
      <c r="N363" t="inlineStr">
        <is>
          <t>Original</t>
        </is>
      </c>
      <c r="O363" t="inlineStr">
        <is>
          <t>QUALIFY</t>
        </is>
      </c>
      <c r="R363" t="inlineStr">
        <is>
          <t>PASS — qualifying original. Flagged non-material comparable-field reconstruction discrepancy: 252 Seamist represented at approximately 2,216 SF rather than 2,006 SF. Retained under established decision-materiality QC standard.</t>
        </is>
      </c>
      <c r="S363" t="inlineStr">
        <is>
          <t>Full ER</t>
        </is>
      </c>
    </row>
    <row r="364" spans="1:19" hidden="1">
      <c r="A364" t="inlineStr">
        <is>
          <t>OPVAL-P5A-S0-NT-E006</t>
        </is>
      </c>
      <c r="B364" t="inlineStr">
        <is>
          <t>OPVAL-P5A-S0-NT</t>
        </is>
      </c>
      <c r="C364" t="inlineStr">
        <is>
          <t>OPVAL</t>
        </is>
      </c>
      <c r="D364" s="56">
        <v>2026</v>
      </c>
      <c r="E364" s="56" t="inlineStr">
        <is>
          <t>P5A</t>
        </is>
      </c>
      <c r="F364" t="inlineStr">
        <is>
          <t>193 Crosscove Circle</t>
        </is>
      </c>
      <c r="G364" t="inlineStr">
        <is>
          <t>No Table</t>
        </is>
      </c>
      <c r="H364" s="62">
        <v>6</v>
      </c>
      <c r="I364">
        <v>6</v>
      </c>
      <c r="J364" s="65">
        <v>665000</v>
      </c>
      <c r="K364" s="65">
        <v>650000</v>
      </c>
      <c r="L364" s="65">
        <v>635000</v>
      </c>
      <c r="M364" s="56" t="inlineStr">
        <is>
          <t>Yes</t>
        </is>
      </c>
      <c r="N364" t="inlineStr">
        <is>
          <t>Original</t>
        </is>
      </c>
      <c r="O364" t="inlineStr">
        <is>
          <t>QUALIFY</t>
        </is>
      </c>
      <c r="S364" t="inlineStr">
        <is>
          <t>Full ER</t>
        </is>
      </c>
    </row>
    <row r="365" spans="1:19" s="59" customFormat="1" ht="57">
      <c r="A365" s="59" t="inlineStr">
        <is>
          <t>OPVAL-P5A-S0-NT-E007</t>
        </is>
      </c>
      <c r="B365" s="59" t="inlineStr">
        <is>
          <t>OPVAL-P5A-S0-NT</t>
        </is>
      </c>
      <c r="C365" s="59" t="inlineStr">
        <is>
          <t>OPVAL</t>
        </is>
      </c>
      <c r="D365" s="63">
        <v>2026</v>
      </c>
      <c r="E365" s="63" t="inlineStr">
        <is>
          <t>P5A</t>
        </is>
      </c>
      <c r="F365" s="59" t="inlineStr">
        <is>
          <t>193 Crosscove Circle</t>
        </is>
      </c>
      <c r="G365" s="59" t="inlineStr">
        <is>
          <t>No Table</t>
        </is>
      </c>
      <c r="H365" s="62"/>
      <c r="I365" s="59">
        <v>7</v>
      </c>
      <c r="J365" s="66">
        <v>710000</v>
      </c>
      <c r="K365" s="66">
        <v>720000</v>
      </c>
      <c r="L365" s="66">
        <v>635000</v>
      </c>
      <c r="M365" s="63" t="inlineStr">
        <is>
          <t>No</t>
        </is>
      </c>
      <c r="N365" s="59" t="inlineStr">
        <is>
          <t>Original</t>
        </is>
      </c>
      <c r="O365" s="59" t="inlineStr">
        <is>
          <t>EXCLUDE</t>
        </is>
      </c>
      <c r="Q365" s="59">
        <v>11</v>
      </c>
      <c r="R365" s="59" t="inlineStr">
        <is>
          <t>EXCLUDE / REPLACE — material Subject transaction-state reconstruction error: Subject asking price treated as $749,900 rather than the actual $677,900 original / $665,000 final listing history, and the erroneous price state was used in the valuation.</t>
        </is>
      </c>
      <c r="S365" s="59" t="inlineStr">
        <is>
          <t>Full ER</t>
        </is>
      </c>
    </row>
    <row r="366" spans="1:19" hidden="1">
      <c r="A366" t="inlineStr">
        <is>
          <t>OPVAL-P5A-S0-NT-E008</t>
        </is>
      </c>
      <c r="B366" t="inlineStr">
        <is>
          <t>OPVAL-P5A-S0-NT</t>
        </is>
      </c>
      <c r="C366" t="inlineStr">
        <is>
          <t>OPVAL</t>
        </is>
      </c>
      <c r="D366" s="56">
        <v>2026</v>
      </c>
      <c r="E366" s="56" t="inlineStr">
        <is>
          <t>P5A</t>
        </is>
      </c>
      <c r="F366" t="inlineStr">
        <is>
          <t>193 Crosscove Circle</t>
        </is>
      </c>
      <c r="G366" t="inlineStr">
        <is>
          <t>No Table</t>
        </is>
      </c>
      <c r="H366" s="62">
        <v>8</v>
      </c>
      <c r="I366">
        <v>8</v>
      </c>
      <c r="J366" s="65">
        <v>665000</v>
      </c>
      <c r="K366" s="65">
        <v>655000</v>
      </c>
      <c r="L366" s="65">
        <v>635000</v>
      </c>
      <c r="M366" s="56" t="inlineStr">
        <is>
          <t>Yes</t>
        </is>
      </c>
      <c r="N366" t="inlineStr">
        <is>
          <t>Original</t>
        </is>
      </c>
      <c r="O366" t="inlineStr">
        <is>
          <t>QUALIFY</t>
        </is>
      </c>
      <c r="R366" t="inlineStr">
        <is>
          <t>PASS — qualifying original with non-material comparable-field reconstruction noise retained under established decision-materiality QC standard; decision-material Subject state and listing history reconstructed correctly.</t>
        </is>
      </c>
      <c r="S366" t="inlineStr">
        <is>
          <t>Full ER</t>
        </is>
      </c>
    </row>
    <row r="367" spans="1:19" hidden="1">
      <c r="A367" t="inlineStr">
        <is>
          <t>OPVAL-P5A-S0-NT-E009</t>
        </is>
      </c>
      <c r="B367" t="inlineStr">
        <is>
          <t>OPVAL-P5A-S0-NT</t>
        </is>
      </c>
      <c r="C367" t="inlineStr">
        <is>
          <t>OPVAL</t>
        </is>
      </c>
      <c r="D367" s="56">
        <v>2026</v>
      </c>
      <c r="E367" s="56" t="inlineStr">
        <is>
          <t>P5A</t>
        </is>
      </c>
      <c r="F367" t="inlineStr">
        <is>
          <t>193 Crosscove Circle</t>
        </is>
      </c>
      <c r="G367" t="inlineStr">
        <is>
          <t>No Table</t>
        </is>
      </c>
      <c r="H367" s="62">
        <v>9</v>
      </c>
      <c r="I367">
        <v>9</v>
      </c>
      <c r="J367" s="65">
        <v>665000</v>
      </c>
      <c r="K367" s="65">
        <v>655000</v>
      </c>
      <c r="L367" s="65">
        <v>635000</v>
      </c>
      <c r="M367" s="56" t="inlineStr">
        <is>
          <t>Yes</t>
        </is>
      </c>
      <c r="N367" t="inlineStr">
        <is>
          <t>Original</t>
        </is>
      </c>
      <c r="O367" t="inlineStr">
        <is>
          <t>QUALIFY</t>
        </is>
      </c>
      <c r="S367" t="inlineStr">
        <is>
          <t>Full ER</t>
        </is>
      </c>
    </row>
    <row r="368" spans="1:19" hidden="1">
      <c r="A368" t="inlineStr">
        <is>
          <t>OPVAL-P5A-S0-NT-E010</t>
        </is>
      </c>
      <c r="B368" t="inlineStr">
        <is>
          <t>OPVAL-P5A-S0-NT</t>
        </is>
      </c>
      <c r="C368" t="inlineStr">
        <is>
          <t>OPVAL</t>
        </is>
      </c>
      <c r="D368" s="56">
        <v>2026</v>
      </c>
      <c r="E368" s="56" t="inlineStr">
        <is>
          <t>P5A</t>
        </is>
      </c>
      <c r="F368" t="inlineStr">
        <is>
          <t>193 Crosscove Circle</t>
        </is>
      </c>
      <c r="G368" t="inlineStr">
        <is>
          <t>No Table</t>
        </is>
      </c>
      <c r="H368" s="62">
        <v>10</v>
      </c>
      <c r="I368">
        <v>10</v>
      </c>
      <c r="J368" s="65">
        <v>665000</v>
      </c>
      <c r="K368" s="65">
        <v>655000</v>
      </c>
      <c r="L368" s="65">
        <v>635000</v>
      </c>
      <c r="M368" s="56" t="inlineStr">
        <is>
          <t>Yes</t>
        </is>
      </c>
      <c r="N368" t="inlineStr">
        <is>
          <t>Original</t>
        </is>
      </c>
      <c r="O368" t="inlineStr">
        <is>
          <t>QUALIFY</t>
        </is>
      </c>
      <c r="S368" t="inlineStr">
        <is>
          <t>Full ER</t>
        </is>
      </c>
    </row>
    <row r="369" spans="1:19" hidden="1">
      <c r="A369" t="inlineStr">
        <is>
          <t>OPVAL-P5A-S0-NT-E011</t>
        </is>
      </c>
      <c r="B369" t="inlineStr">
        <is>
          <t>OPVAL-P5A-S0-NT</t>
        </is>
      </c>
      <c r="C369" t="inlineStr">
        <is>
          <t>OPVAL</t>
        </is>
      </c>
      <c r="D369" s="56">
        <v>2026</v>
      </c>
      <c r="E369" s="56" t="inlineStr">
        <is>
          <t>P5A</t>
        </is>
      </c>
      <c r="F369" t="inlineStr">
        <is>
          <t>193 Crosscove Circle</t>
        </is>
      </c>
      <c r="G369" t="inlineStr">
        <is>
          <t>No Table</t>
        </is>
      </c>
      <c r="H369" s="62">
        <v>7</v>
      </c>
      <c r="I369">
        <v>11</v>
      </c>
      <c r="J369" s="65">
        <v>660000</v>
      </c>
      <c r="K369" s="65">
        <v>650000</v>
      </c>
      <c r="L369" s="65">
        <v>635000</v>
      </c>
      <c r="M369" s="56" t="inlineStr">
        <is>
          <t>Yes</t>
        </is>
      </c>
      <c r="N369" t="inlineStr">
        <is>
          <t>Replacement</t>
        </is>
      </c>
      <c r="O369" t="inlineStr">
        <is>
          <t>QUALIFY</t>
        </is>
      </c>
      <c r="P369">
        <v>7</v>
      </c>
      <c r="R369" t="inlineStr">
        <is>
          <t>PASS — qualifying replacement for R7. Decision-material Subject state and $677,900 original / $665,000 final / 128-DOM listing history reconstructed correctly. Flagged non-material comparable-field discrepancy: 265 Patrick Mill represented at approximately 2,133 SF rather than 2,323 SF.</t>
        </is>
      </c>
      <c r="S369" t="inlineStr">
        <is>
          <t>Full ER</t>
        </is>
      </c>
    </row>
    <row r="370" spans="1:19" hidden="1">
      <c r="A370" t="inlineStr">
        <is>
          <t>OPVAL-P6A-S0-NT-E001</t>
        </is>
      </c>
      <c r="B370" t="inlineStr">
        <is>
          <t>OPVAL-P6A-S0-NT</t>
        </is>
      </c>
      <c r="C370" t="inlineStr">
        <is>
          <t>OPVAL</t>
        </is>
      </c>
      <c r="D370" s="56">
        <v>2026</v>
      </c>
      <c r="E370" s="56" t="inlineStr">
        <is>
          <t>P6A</t>
        </is>
      </c>
      <c r="F370" t="inlineStr">
        <is>
          <t>185 Crosscove Circle</t>
        </is>
      </c>
      <c r="G370" t="inlineStr">
        <is>
          <t>No Table</t>
        </is>
      </c>
      <c r="H370" s="62">
        <v>1</v>
      </c>
      <c r="I370">
        <v>1</v>
      </c>
      <c r="J370" s="65">
        <v>655000</v>
      </c>
      <c r="K370" s="65">
        <v>655000</v>
      </c>
      <c r="L370" s="65">
        <v>650000</v>
      </c>
      <c r="M370" s="56" t="inlineStr">
        <is>
          <t>Yes</t>
        </is>
      </c>
      <c r="N370" t="inlineStr">
        <is>
          <t>Original</t>
        </is>
      </c>
      <c r="O370" t="inlineStr">
        <is>
          <t>QUALIFY</t>
        </is>
      </c>
      <c r="S370" t="inlineStr">
        <is>
          <t>Full ER</t>
        </is>
      </c>
    </row>
    <row r="371" spans="1:19" s="59" customFormat="1" ht="42.75">
      <c r="A371" s="59" t="inlineStr">
        <is>
          <t>OPVAL-P6A-S0-NT-E002</t>
        </is>
      </c>
      <c r="B371" s="59" t="inlineStr">
        <is>
          <t>OPVAL-P6A-S0-NT</t>
        </is>
      </c>
      <c r="C371" s="59" t="inlineStr">
        <is>
          <t>OPVAL</t>
        </is>
      </c>
      <c r="D371" s="63">
        <v>2026</v>
      </c>
      <c r="E371" s="63" t="inlineStr">
        <is>
          <t>P6A</t>
        </is>
      </c>
      <c r="F371" s="59" t="inlineStr">
        <is>
          <t>185 Crosscove Circle</t>
        </is>
      </c>
      <c r="G371" s="59" t="inlineStr">
        <is>
          <t>No Table</t>
        </is>
      </c>
      <c r="H371" s="62"/>
      <c r="I371" s="59">
        <v>2</v>
      </c>
      <c r="J371" s="66">
        <v>655000</v>
      </c>
      <c r="K371" s="66">
        <v>655000</v>
      </c>
      <c r="L371" s="66">
        <v>650000</v>
      </c>
      <c r="M371" s="63" t="inlineStr">
        <is>
          <t>No</t>
        </is>
      </c>
      <c r="N371" s="59" t="inlineStr">
        <is>
          <t>Original</t>
        </is>
      </c>
      <c r="O371" s="59" t="inlineStr">
        <is>
          <t>EXCLUDE</t>
        </is>
      </c>
      <c r="Q371" s="59">
        <v>11</v>
      </c>
      <c r="R371" s="59" t="inlineStr">
        <is>
          <t>EXCLUDE / REPLACE — material Subject physical-state reconstruction error: Subject represented at approximately 2,069 SF rather than 1,850 SF, and the erroneous size relationship was used in comparative reasoning.</t>
        </is>
      </c>
      <c r="S371" s="59" t="inlineStr">
        <is>
          <t>Full ER</t>
        </is>
      </c>
    </row>
    <row r="372" spans="1:19" hidden="1">
      <c r="A372" t="inlineStr">
        <is>
          <t>OPVAL-P6A-S0-NT-E003</t>
        </is>
      </c>
      <c r="B372" t="inlineStr">
        <is>
          <t>OPVAL-P6A-S0-NT</t>
        </is>
      </c>
      <c r="C372" t="inlineStr">
        <is>
          <t>OPVAL</t>
        </is>
      </c>
      <c r="D372" s="56">
        <v>2026</v>
      </c>
      <c r="E372" s="56" t="inlineStr">
        <is>
          <t>P6A</t>
        </is>
      </c>
      <c r="F372" t="inlineStr">
        <is>
          <t>185 Crosscove Circle</t>
        </is>
      </c>
      <c r="G372" t="inlineStr">
        <is>
          <t>No Table</t>
        </is>
      </c>
      <c r="H372" s="62">
        <v>3</v>
      </c>
      <c r="I372">
        <v>3</v>
      </c>
      <c r="J372" s="65">
        <v>645000</v>
      </c>
      <c r="K372" s="65">
        <v>650000</v>
      </c>
      <c r="L372" s="65">
        <v>650000</v>
      </c>
      <c r="M372" s="56" t="inlineStr">
        <is>
          <t>Yes</t>
        </is>
      </c>
      <c r="N372" t="inlineStr">
        <is>
          <t>Original</t>
        </is>
      </c>
      <c r="O372" t="inlineStr">
        <is>
          <t>QUALIFY</t>
        </is>
      </c>
      <c r="R372" t="inlineStr">
        <is>
          <t>PASS — qualifying original. Flagged non-material comparable-field discrepancy: 132 Patrick Mill represented at approximately 1,940 SF rather than 2,047 SF. Retained under established decision-materiality QC standard.</t>
        </is>
      </c>
      <c r="S372" t="inlineStr">
        <is>
          <t>Full ER</t>
        </is>
      </c>
    </row>
    <row r="373" spans="1:19" hidden="1">
      <c r="A373" t="inlineStr">
        <is>
          <t>OPVAL-P6A-S0-NT-E004</t>
        </is>
      </c>
      <c r="B373" t="inlineStr">
        <is>
          <t>OPVAL-P6A-S0-NT</t>
        </is>
      </c>
      <c r="C373" t="inlineStr">
        <is>
          <t>OPVAL</t>
        </is>
      </c>
      <c r="D373" s="56">
        <v>2026</v>
      </c>
      <c r="E373" s="56" t="inlineStr">
        <is>
          <t>P6A</t>
        </is>
      </c>
      <c r="F373" t="inlineStr">
        <is>
          <t>185 Crosscove Circle</t>
        </is>
      </c>
      <c r="G373" t="inlineStr">
        <is>
          <t>No Table</t>
        </is>
      </c>
      <c r="H373" s="62">
        <v>4</v>
      </c>
      <c r="I373">
        <v>4</v>
      </c>
      <c r="J373" s="65">
        <v>660000</v>
      </c>
      <c r="K373" s="65">
        <v>655000</v>
      </c>
      <c r="L373" s="65">
        <v>650000</v>
      </c>
      <c r="M373" s="56" t="inlineStr">
        <is>
          <t>Yes</t>
        </is>
      </c>
      <c r="N373" t="inlineStr">
        <is>
          <t>Original</t>
        </is>
      </c>
      <c r="O373" t="inlineStr">
        <is>
          <t>QUALIFY</t>
        </is>
      </c>
      <c r="S373" t="inlineStr">
        <is>
          <t>Full ER</t>
        </is>
      </c>
    </row>
    <row r="374" spans="1:19" hidden="1">
      <c r="A374" t="inlineStr">
        <is>
          <t>OPVAL-P6A-S0-NT-E005</t>
        </is>
      </c>
      <c r="B374" t="inlineStr">
        <is>
          <t>OPVAL-P6A-S0-NT</t>
        </is>
      </c>
      <c r="C374" t="inlineStr">
        <is>
          <t>OPVAL</t>
        </is>
      </c>
      <c r="D374" s="56">
        <v>2026</v>
      </c>
      <c r="E374" s="56" t="inlineStr">
        <is>
          <t>P6A</t>
        </is>
      </c>
      <c r="F374" t="inlineStr">
        <is>
          <t>185 Crosscove Circle</t>
        </is>
      </c>
      <c r="G374" t="inlineStr">
        <is>
          <t>No Table</t>
        </is>
      </c>
      <c r="H374" s="62">
        <v>5</v>
      </c>
      <c r="I374">
        <v>5</v>
      </c>
      <c r="J374" s="65">
        <v>650000</v>
      </c>
      <c r="K374" s="65">
        <v>655000</v>
      </c>
      <c r="L374" s="65">
        <v>650000</v>
      </c>
      <c r="M374" s="56" t="inlineStr">
        <is>
          <t>Yes</t>
        </is>
      </c>
      <c r="N374" t="inlineStr">
        <is>
          <t>Original</t>
        </is>
      </c>
      <c r="O374" t="inlineStr">
        <is>
          <t>QUALIFY</t>
        </is>
      </c>
      <c r="S374" t="inlineStr">
        <is>
          <t>Full ER</t>
        </is>
      </c>
    </row>
    <row r="375" spans="1:19" hidden="1">
      <c r="A375" t="inlineStr">
        <is>
          <t>OPVAL-P6A-S0-NT-E006</t>
        </is>
      </c>
      <c r="B375" t="inlineStr">
        <is>
          <t>OPVAL-P6A-S0-NT</t>
        </is>
      </c>
      <c r="C375" t="inlineStr">
        <is>
          <t>OPVAL</t>
        </is>
      </c>
      <c r="D375" s="56">
        <v>2026</v>
      </c>
      <c r="E375" s="56" t="inlineStr">
        <is>
          <t>P6A</t>
        </is>
      </c>
      <c r="F375" t="inlineStr">
        <is>
          <t>185 Crosscove Circle</t>
        </is>
      </c>
      <c r="G375" t="inlineStr">
        <is>
          <t>No Table</t>
        </is>
      </c>
      <c r="H375" s="62">
        <v>6</v>
      </c>
      <c r="I375">
        <v>6</v>
      </c>
      <c r="J375" s="65">
        <v>660000</v>
      </c>
      <c r="K375" s="65">
        <v>655000</v>
      </c>
      <c r="L375" s="65">
        <v>650000</v>
      </c>
      <c r="M375" s="56" t="inlineStr">
        <is>
          <t>Yes</t>
        </is>
      </c>
      <c r="N375" t="inlineStr">
        <is>
          <t>Original</t>
        </is>
      </c>
      <c r="O375" t="inlineStr">
        <is>
          <t>QUALIFY</t>
        </is>
      </c>
      <c r="S375" t="inlineStr">
        <is>
          <t>Full ER</t>
        </is>
      </c>
    </row>
    <row r="376" spans="1:19" hidden="1">
      <c r="A376" t="inlineStr">
        <is>
          <t>OPVAL-P6A-S0-NT-E007</t>
        </is>
      </c>
      <c r="B376" t="inlineStr">
        <is>
          <t>OPVAL-P6A-S0-NT</t>
        </is>
      </c>
      <c r="C376" t="inlineStr">
        <is>
          <t>OPVAL</t>
        </is>
      </c>
      <c r="D376" s="56">
        <v>2026</v>
      </c>
      <c r="E376" s="56" t="inlineStr">
        <is>
          <t>P6A</t>
        </is>
      </c>
      <c r="F376" t="inlineStr">
        <is>
          <t>185 Crosscove Circle</t>
        </is>
      </c>
      <c r="G376" t="inlineStr">
        <is>
          <t>No Table</t>
        </is>
      </c>
      <c r="H376" s="62">
        <v>7</v>
      </c>
      <c r="I376">
        <v>7</v>
      </c>
      <c r="J376" s="65">
        <v>655000</v>
      </c>
      <c r="K376" s="65">
        <v>655000</v>
      </c>
      <c r="L376" s="65">
        <v>650000</v>
      </c>
      <c r="M376" s="56" t="inlineStr">
        <is>
          <t>Yes</t>
        </is>
      </c>
      <c r="N376" t="inlineStr">
        <is>
          <t>Original</t>
        </is>
      </c>
      <c r="O376" t="inlineStr">
        <is>
          <t>QUALIFY</t>
        </is>
      </c>
      <c r="R376" t="inlineStr">
        <is>
          <t>PASS — qualifying original with non-material comparable-field reconstruction noise retained under established decision-materiality QC standard; decision-material Subject state and transaction chronology reconstructed correctly.</t>
        </is>
      </c>
      <c r="S376" t="inlineStr">
        <is>
          <t>Full ER</t>
        </is>
      </c>
    </row>
    <row r="377" spans="1:19" hidden="1">
      <c r="A377" t="inlineStr">
        <is>
          <t>OPVAL-P6A-S0-NT-E008</t>
        </is>
      </c>
      <c r="B377" t="inlineStr">
        <is>
          <t>OPVAL-P6A-S0-NT</t>
        </is>
      </c>
      <c r="C377" t="inlineStr">
        <is>
          <t>OPVAL</t>
        </is>
      </c>
      <c r="D377" s="56">
        <v>2026</v>
      </c>
      <c r="E377" s="56" t="inlineStr">
        <is>
          <t>P6A</t>
        </is>
      </c>
      <c r="F377" t="inlineStr">
        <is>
          <t>185 Crosscove Circle</t>
        </is>
      </c>
      <c r="G377" t="inlineStr">
        <is>
          <t>No Table</t>
        </is>
      </c>
      <c r="H377" s="62">
        <v>8</v>
      </c>
      <c r="I377">
        <v>8</v>
      </c>
      <c r="J377" s="65">
        <v>655000</v>
      </c>
      <c r="K377" s="65">
        <v>655000</v>
      </c>
      <c r="L377" s="65">
        <v>650000</v>
      </c>
      <c r="M377" s="56" t="inlineStr">
        <is>
          <t>Yes</t>
        </is>
      </c>
      <c r="N377" t="inlineStr">
        <is>
          <t>Original</t>
        </is>
      </c>
      <c r="O377" t="inlineStr">
        <is>
          <t>QUALIFY</t>
        </is>
      </c>
      <c r="S377" t="inlineStr">
        <is>
          <t>Full ER</t>
        </is>
      </c>
    </row>
    <row r="378" spans="1:19" s="59" customFormat="1" ht="42.75">
      <c r="A378" s="59" t="inlineStr">
        <is>
          <t>OPVAL-P6A-S0-NT-E009</t>
        </is>
      </c>
      <c r="B378" s="59" t="inlineStr">
        <is>
          <t>OPVAL-P6A-S0-NT</t>
        </is>
      </c>
      <c r="C378" s="59" t="inlineStr">
        <is>
          <t>OPVAL</t>
        </is>
      </c>
      <c r="D378" s="63">
        <v>2026</v>
      </c>
      <c r="E378" s="63" t="inlineStr">
        <is>
          <t>P6A</t>
        </is>
      </c>
      <c r="F378" s="59" t="inlineStr">
        <is>
          <t>185 Crosscove Circle</t>
        </is>
      </c>
      <c r="G378" s="59" t="inlineStr">
        <is>
          <t>No Table</t>
        </is>
      </c>
      <c r="H378" s="62"/>
      <c r="I378" s="59">
        <v>9</v>
      </c>
      <c r="J378" s="66">
        <v>640000</v>
      </c>
      <c r="K378" s="66">
        <v>642500</v>
      </c>
      <c r="L378" s="66">
        <v>650000</v>
      </c>
      <c r="M378" s="63" t="inlineStr">
        <is>
          <t>No</t>
        </is>
      </c>
      <c r="N378" s="59" t="inlineStr">
        <is>
          <t>Original</t>
        </is>
      </c>
      <c r="O378" s="59" t="inlineStr">
        <is>
          <t>EXCLUDE</t>
        </is>
      </c>
      <c r="Q378" s="59">
        <v>12</v>
      </c>
      <c r="R378" s="59" t="inlineStr">
        <is>
          <t>EXCLUDE / REPLACE — material Subject transaction-state reconstruction error: Subject treated as listed at $665,000 rather than $650,000, and the erroneous asking-price state was used in transaction reasoning.</t>
        </is>
      </c>
      <c r="S378" s="59" t="inlineStr">
        <is>
          <t>Full ER</t>
        </is>
      </c>
    </row>
    <row r="379" spans="1:19" hidden="1">
      <c r="A379" t="inlineStr">
        <is>
          <t>OPVAL-P6A-S0-NT-E010</t>
        </is>
      </c>
      <c r="B379" t="inlineStr">
        <is>
          <t>OPVAL-P6A-S0-NT</t>
        </is>
      </c>
      <c r="C379" t="inlineStr">
        <is>
          <t>OPVAL</t>
        </is>
      </c>
      <c r="D379" s="56">
        <v>2026</v>
      </c>
      <c r="E379" s="56" t="inlineStr">
        <is>
          <t>P6A</t>
        </is>
      </c>
      <c r="F379" t="inlineStr">
        <is>
          <t>185 Crosscove Circle</t>
        </is>
      </c>
      <c r="G379" t="inlineStr">
        <is>
          <t>No Table</t>
        </is>
      </c>
      <c r="H379" s="62">
        <v>10</v>
      </c>
      <c r="I379">
        <v>10</v>
      </c>
      <c r="J379" s="65">
        <v>655000</v>
      </c>
      <c r="K379" s="65">
        <v>660000</v>
      </c>
      <c r="L379" s="65">
        <v>650000</v>
      </c>
      <c r="M379" s="56" t="inlineStr">
        <is>
          <t>Yes</t>
        </is>
      </c>
      <c r="N379" t="inlineStr">
        <is>
          <t>Original</t>
        </is>
      </c>
      <c r="O379" t="inlineStr">
        <is>
          <t>QUALIFY</t>
        </is>
      </c>
      <c r="S379" t="inlineStr">
        <is>
          <t>Full ER</t>
        </is>
      </c>
    </row>
    <row r="380" spans="1:19" hidden="1">
      <c r="A380" t="inlineStr">
        <is>
          <t>OPVAL-P6A-S0-NT-E011</t>
        </is>
      </c>
      <c r="B380" t="inlineStr">
        <is>
          <t>OPVAL-P6A-S0-NT</t>
        </is>
      </c>
      <c r="C380" t="inlineStr">
        <is>
          <t>OPVAL</t>
        </is>
      </c>
      <c r="D380" s="56">
        <v>2026</v>
      </c>
      <c r="E380" s="56" t="inlineStr">
        <is>
          <t>P6A</t>
        </is>
      </c>
      <c r="F380" t="inlineStr">
        <is>
          <t>185 Crosscove Circle</t>
        </is>
      </c>
      <c r="G380" t="inlineStr">
        <is>
          <t>No Table</t>
        </is>
      </c>
      <c r="H380" s="62">
        <v>2</v>
      </c>
      <c r="I380">
        <v>11</v>
      </c>
      <c r="J380" s="65">
        <v>655000</v>
      </c>
      <c r="K380" s="65">
        <v>660000</v>
      </c>
      <c r="L380" s="65">
        <v>650000</v>
      </c>
      <c r="M380" s="56" t="inlineStr">
        <is>
          <t>Yes</t>
        </is>
      </c>
      <c r="N380" t="inlineStr">
        <is>
          <t>Replacement</t>
        </is>
      </c>
      <c r="O380" t="inlineStr">
        <is>
          <t>QUALIFY</t>
        </is>
      </c>
      <c r="P380">
        <v>2</v>
      </c>
      <c r="R380" t="inlineStr">
        <is>
          <t>PASS — qualifying replacement for R2. Decision-material Subject physical state, $650,000 list price, and three-day transaction chronology reconstructed correctly.</t>
        </is>
      </c>
      <c r="S380" t="inlineStr">
        <is>
          <t>Full ER</t>
        </is>
      </c>
    </row>
    <row r="381" spans="1:19" s="59" customFormat="1" ht="57">
      <c r="A381" s="59" t="inlineStr">
        <is>
          <t>OPVAL-P6A-S0-NT-E012</t>
        </is>
      </c>
      <c r="B381" s="59" t="inlineStr">
        <is>
          <t>OPVAL-P6A-S0-NT</t>
        </is>
      </c>
      <c r="C381" s="59" t="inlineStr">
        <is>
          <t>OPVAL</t>
        </is>
      </c>
      <c r="D381" s="63">
        <v>2026</v>
      </c>
      <c r="E381" s="63" t="inlineStr">
        <is>
          <t>P6A</t>
        </is>
      </c>
      <c r="F381" s="59" t="inlineStr">
        <is>
          <t>185 Crosscove Circle</t>
        </is>
      </c>
      <c r="G381" s="59" t="inlineStr">
        <is>
          <t>No Table</t>
        </is>
      </c>
      <c r="H381" s="62"/>
      <c r="I381" s="59">
        <v>12</v>
      </c>
      <c r="J381" s="66">
        <v>635000</v>
      </c>
      <c r="K381" s="66">
        <v>625000</v>
      </c>
      <c r="L381" s="66">
        <v>650000</v>
      </c>
      <c r="M381" s="63" t="inlineStr">
        <is>
          <t>No</t>
        </is>
      </c>
      <c r="N381" s="59" t="inlineStr">
        <is>
          <t>Replacement</t>
        </is>
      </c>
      <c r="O381" s="59" t="inlineStr">
        <is>
          <t>EXCLUDE</t>
        </is>
      </c>
      <c r="P381" s="59">
        <v>9</v>
      </c>
      <c r="Q381" s="59">
        <v>13</v>
      </c>
      <c r="R381" s="59" t="inlineStr">
        <is>
          <t>EXCLUDE / REPLACE — replacement execution retained correct physical Subject state but again reconstructed $665,000 as the Subject asking price and invented prolonged/continued market exposure; that erroneous transaction state was used to reduce F from I.</t>
        </is>
      </c>
      <c r="S381" s="59" t="inlineStr">
        <is>
          <t>Full ER</t>
        </is>
      </c>
    </row>
    <row r="382" spans="1:19" hidden="1">
      <c r="A382" t="inlineStr">
        <is>
          <t>OPVAL-P6A-S0-NT-E013</t>
        </is>
      </c>
      <c r="B382" t="inlineStr">
        <is>
          <t>OPVAL-P6A-S0-NT</t>
        </is>
      </c>
      <c r="C382" t="inlineStr">
        <is>
          <t>OPVAL</t>
        </is>
      </c>
      <c r="D382" s="56">
        <v>2026</v>
      </c>
      <c r="E382" s="56" t="inlineStr">
        <is>
          <t>P6A</t>
        </is>
      </c>
      <c r="F382" t="inlineStr">
        <is>
          <t>185 Crosscove Circle</t>
        </is>
      </c>
      <c r="G382" t="inlineStr">
        <is>
          <t>No Table</t>
        </is>
      </c>
      <c r="H382" s="62">
        <v>9</v>
      </c>
      <c r="I382">
        <v>13</v>
      </c>
      <c r="J382" s="65">
        <v>660000</v>
      </c>
      <c r="K382" s="65">
        <v>650000</v>
      </c>
      <c r="L382" s="65">
        <v>650000</v>
      </c>
      <c r="M382" s="56" t="inlineStr">
        <is>
          <t>Yes</t>
        </is>
      </c>
      <c r="N382" t="inlineStr">
        <is>
          <t>Replacement</t>
        </is>
      </c>
      <c r="O382" t="inlineStr">
        <is>
          <t>QUALIFY</t>
        </is>
      </c>
      <c r="P382">
        <v>12</v>
      </c>
      <c r="R382" t="inlineStr">
        <is>
          <t>PASS — qualifying replacement completing R9 → R12 → R13 chain. Correct Subject physical state and $650,000 list / April 1 listing / April 4 contract / 3-DOM transaction state. Minor comparable-field noise retained as non-material.</t>
        </is>
      </c>
      <c r="S382" t="inlineStr">
        <is>
          <t>Full ER</t>
        </is>
      </c>
    </row>
    <row r="383" spans="1:19" hidden="1">
      <c r="A383" t="inlineStr">
        <is>
          <t>OPVAL-P7A-S0-NT-E001</t>
        </is>
      </c>
      <c r="B383" t="inlineStr">
        <is>
          <t>OPVAL-P7A-S0-NT</t>
        </is>
      </c>
      <c r="C383" t="inlineStr">
        <is>
          <t>OPVAL</t>
        </is>
      </c>
      <c r="D383" s="56">
        <v>2026</v>
      </c>
      <c r="E383" s="56" t="inlineStr">
        <is>
          <t>P7A</t>
        </is>
      </c>
      <c r="F383" t="inlineStr">
        <is>
          <t>205 Stellar Court</t>
        </is>
      </c>
      <c r="G383" t="inlineStr">
        <is>
          <t>No Table</t>
        </is>
      </c>
      <c r="H383" s="62">
        <v>1</v>
      </c>
      <c r="I383">
        <v>1</v>
      </c>
      <c r="J383" s="65">
        <v>610000</v>
      </c>
      <c r="K383" s="65">
        <v>600000</v>
      </c>
      <c r="L383" s="65">
        <v>580000</v>
      </c>
      <c r="M383" s="56" t="inlineStr">
        <is>
          <t>Yes</t>
        </is>
      </c>
      <c r="N383" t="inlineStr">
        <is>
          <t>Original</t>
        </is>
      </c>
      <c r="O383" t="inlineStr">
        <is>
          <t>QUALIFY</t>
        </is>
      </c>
      <c r="S383" t="inlineStr">
        <is>
          <t>Full ER</t>
        </is>
      </c>
    </row>
    <row r="384" spans="1:19" hidden="1">
      <c r="A384" t="inlineStr">
        <is>
          <t>OPVAL-P7A-S0-NT-E002</t>
        </is>
      </c>
      <c r="B384" t="inlineStr">
        <is>
          <t>OPVAL-P7A-S0-NT</t>
        </is>
      </c>
      <c r="C384" t="inlineStr">
        <is>
          <t>OPVAL</t>
        </is>
      </c>
      <c r="D384" s="56">
        <v>2026</v>
      </c>
      <c r="E384" s="56" t="inlineStr">
        <is>
          <t>P7A</t>
        </is>
      </c>
      <c r="F384" t="inlineStr">
        <is>
          <t>205 Stellar Court</t>
        </is>
      </c>
      <c r="G384" t="inlineStr">
        <is>
          <t>No Table</t>
        </is>
      </c>
      <c r="H384" s="62">
        <v>2</v>
      </c>
      <c r="I384">
        <v>2</v>
      </c>
      <c r="J384" s="65">
        <v>600000</v>
      </c>
      <c r="K384" s="65">
        <v>595000</v>
      </c>
      <c r="L384" s="65">
        <v>580000</v>
      </c>
      <c r="M384" s="56" t="inlineStr">
        <is>
          <t>Yes</t>
        </is>
      </c>
      <c r="N384" t="inlineStr">
        <is>
          <t>Original</t>
        </is>
      </c>
      <c r="O384" t="inlineStr">
        <is>
          <t>QUALIFY</t>
        </is>
      </c>
      <c r="S384" t="inlineStr">
        <is>
          <t>Full ER</t>
        </is>
      </c>
    </row>
    <row r="385" spans="1:19" hidden="1">
      <c r="A385" t="inlineStr">
        <is>
          <t>OPVAL-P7A-S0-NT-E003</t>
        </is>
      </c>
      <c r="B385" t="inlineStr">
        <is>
          <t>OPVAL-P7A-S0-NT</t>
        </is>
      </c>
      <c r="C385" t="inlineStr">
        <is>
          <t>OPVAL</t>
        </is>
      </c>
      <c r="D385" s="56">
        <v>2026</v>
      </c>
      <c r="E385" s="56" t="inlineStr">
        <is>
          <t>P7A</t>
        </is>
      </c>
      <c r="F385" t="inlineStr">
        <is>
          <t>205 Stellar Court</t>
        </is>
      </c>
      <c r="G385" t="inlineStr">
        <is>
          <t>No Table</t>
        </is>
      </c>
      <c r="H385" s="62">
        <v>3</v>
      </c>
      <c r="I385">
        <v>3</v>
      </c>
      <c r="J385" s="65">
        <v>600000</v>
      </c>
      <c r="K385" s="65">
        <v>595000</v>
      </c>
      <c r="L385" s="65">
        <v>580000</v>
      </c>
      <c r="M385" s="56" t="inlineStr">
        <is>
          <t>Yes</t>
        </is>
      </c>
      <c r="N385" t="inlineStr">
        <is>
          <t>Original</t>
        </is>
      </c>
      <c r="O385" t="inlineStr">
        <is>
          <t>QUALIFY</t>
        </is>
      </c>
      <c r="S385" t="inlineStr">
        <is>
          <t>Full ER</t>
        </is>
      </c>
    </row>
    <row r="386" spans="1:19" hidden="1">
      <c r="A386" t="inlineStr">
        <is>
          <t>OPVAL-P7A-S0-NT-E004</t>
        </is>
      </c>
      <c r="B386" t="inlineStr">
        <is>
          <t>OPVAL-P7A-S0-NT</t>
        </is>
      </c>
      <c r="C386" t="inlineStr">
        <is>
          <t>OPVAL</t>
        </is>
      </c>
      <c r="D386" s="56">
        <v>2026</v>
      </c>
      <c r="E386" s="56" t="inlineStr">
        <is>
          <t>P7A</t>
        </is>
      </c>
      <c r="F386" t="inlineStr">
        <is>
          <t>205 Stellar Court</t>
        </is>
      </c>
      <c r="G386" t="inlineStr">
        <is>
          <t>No Table</t>
        </is>
      </c>
      <c r="H386" s="62">
        <v>4</v>
      </c>
      <c r="I386">
        <v>4</v>
      </c>
      <c r="J386" s="65">
        <v>600000</v>
      </c>
      <c r="K386" s="65">
        <v>595000</v>
      </c>
      <c r="L386" s="65">
        <v>580000</v>
      </c>
      <c r="M386" s="56" t="inlineStr">
        <is>
          <t>Yes</t>
        </is>
      </c>
      <c r="N386" t="inlineStr">
        <is>
          <t>Original</t>
        </is>
      </c>
      <c r="O386" t="inlineStr">
        <is>
          <t>QUALIFY</t>
        </is>
      </c>
      <c r="S386" t="inlineStr">
        <is>
          <t>Full ER</t>
        </is>
      </c>
    </row>
    <row r="387" spans="1:19" hidden="1">
      <c r="A387" t="inlineStr">
        <is>
          <t>OPVAL-P7A-S0-NT-E005</t>
        </is>
      </c>
      <c r="B387" t="inlineStr">
        <is>
          <t>OPVAL-P7A-S0-NT</t>
        </is>
      </c>
      <c r="C387" t="inlineStr">
        <is>
          <t>OPVAL</t>
        </is>
      </c>
      <c r="D387" s="56">
        <v>2026</v>
      </c>
      <c r="E387" s="56" t="inlineStr">
        <is>
          <t>P7A</t>
        </is>
      </c>
      <c r="F387" t="inlineStr">
        <is>
          <t>205 Stellar Court</t>
        </is>
      </c>
      <c r="G387" t="inlineStr">
        <is>
          <t>No Table</t>
        </is>
      </c>
      <c r="H387" s="62">
        <v>5</v>
      </c>
      <c r="I387">
        <v>5</v>
      </c>
      <c r="J387" s="65">
        <v>625000</v>
      </c>
      <c r="K387" s="65">
        <v>610000</v>
      </c>
      <c r="L387" s="65">
        <v>580000</v>
      </c>
      <c r="M387" s="56" t="inlineStr">
        <is>
          <t>Yes</t>
        </is>
      </c>
      <c r="N387" t="inlineStr">
        <is>
          <t>Original</t>
        </is>
      </c>
      <c r="O387" t="inlineStr">
        <is>
          <t>QUALIFY</t>
        </is>
      </c>
      <c r="S387" t="inlineStr">
        <is>
          <t>Full ER</t>
        </is>
      </c>
    </row>
    <row r="388" spans="1:19" hidden="1">
      <c r="A388" t="inlineStr">
        <is>
          <t>OPVAL-P7A-S0-NT-E006</t>
        </is>
      </c>
      <c r="B388" t="inlineStr">
        <is>
          <t>OPVAL-P7A-S0-NT</t>
        </is>
      </c>
      <c r="C388" t="inlineStr">
        <is>
          <t>OPVAL</t>
        </is>
      </c>
      <c r="D388" s="56">
        <v>2026</v>
      </c>
      <c r="E388" s="56" t="inlineStr">
        <is>
          <t>P7A</t>
        </is>
      </c>
      <c r="F388" t="inlineStr">
        <is>
          <t>205 Stellar Court</t>
        </is>
      </c>
      <c r="G388" t="inlineStr">
        <is>
          <t>No Table</t>
        </is>
      </c>
      <c r="H388" s="62">
        <v>6</v>
      </c>
      <c r="I388">
        <v>6</v>
      </c>
      <c r="J388" s="65">
        <v>625000</v>
      </c>
      <c r="K388" s="65">
        <v>630000</v>
      </c>
      <c r="L388" s="65">
        <v>580000</v>
      </c>
      <c r="M388" s="56" t="inlineStr">
        <is>
          <t>Yes</t>
        </is>
      </c>
      <c r="N388" t="inlineStr">
        <is>
          <t>Original</t>
        </is>
      </c>
      <c r="O388" t="inlineStr">
        <is>
          <t>QUALIFY</t>
        </is>
      </c>
      <c r="R388" t="inlineStr">
        <is>
          <t>PASS — qualifying original. Flagged non-material comparable-field discrepancy: 193 Crosscove represented at approximately 2,069 SF rather than 2,059 SF. Retained under established decision-materiality QC standard.</t>
        </is>
      </c>
      <c r="S388" t="inlineStr">
        <is>
          <t>Full ER</t>
        </is>
      </c>
    </row>
    <row r="389" spans="1:19" hidden="1">
      <c r="A389" t="inlineStr">
        <is>
          <t>OPVAL-P7A-S0-NT-E007</t>
        </is>
      </c>
      <c r="B389" t="inlineStr">
        <is>
          <t>OPVAL-P7A-S0-NT</t>
        </is>
      </c>
      <c r="C389" t="inlineStr">
        <is>
          <t>OPVAL</t>
        </is>
      </c>
      <c r="D389" s="56">
        <v>2026</v>
      </c>
      <c r="E389" s="56" t="inlineStr">
        <is>
          <t>P7A</t>
        </is>
      </c>
      <c r="F389" t="inlineStr">
        <is>
          <t>205 Stellar Court</t>
        </is>
      </c>
      <c r="G389" t="inlineStr">
        <is>
          <t>No Table</t>
        </is>
      </c>
      <c r="H389" s="62">
        <v>7</v>
      </c>
      <c r="I389">
        <v>7</v>
      </c>
      <c r="J389" s="65">
        <v>605000</v>
      </c>
      <c r="K389" s="65">
        <v>595000</v>
      </c>
      <c r="L389" s="65">
        <v>580000</v>
      </c>
      <c r="M389" s="56" t="inlineStr">
        <is>
          <t>Yes</t>
        </is>
      </c>
      <c r="N389" t="inlineStr">
        <is>
          <t>Original</t>
        </is>
      </c>
      <c r="O389" t="inlineStr">
        <is>
          <t>QUALIFY</t>
        </is>
      </c>
      <c r="R389" t="inlineStr">
        <is>
          <t>PASS — qualifying original. Flagged non-material comparable-field discrepancy: 193 Crosscove represented at approximately 2,069 SF rather than 2,059 SF. Retained under established decision-materiality QC standard.</t>
        </is>
      </c>
      <c r="S389" t="inlineStr">
        <is>
          <t>Full ER</t>
        </is>
      </c>
    </row>
    <row r="390" spans="1:19" hidden="1">
      <c r="A390" t="inlineStr">
        <is>
          <t>OPVAL-P7A-S0-NT-E008</t>
        </is>
      </c>
      <c r="B390" t="inlineStr">
        <is>
          <t>OPVAL-P7A-S0-NT</t>
        </is>
      </c>
      <c r="C390" t="inlineStr">
        <is>
          <t>OPVAL</t>
        </is>
      </c>
      <c r="D390" s="56">
        <v>2026</v>
      </c>
      <c r="E390" s="56" t="inlineStr">
        <is>
          <t>P7A</t>
        </is>
      </c>
      <c r="F390" t="inlineStr">
        <is>
          <t>205 Stellar Court</t>
        </is>
      </c>
      <c r="G390" t="inlineStr">
        <is>
          <t>No Table</t>
        </is>
      </c>
      <c r="H390" s="62">
        <v>8</v>
      </c>
      <c r="I390">
        <v>8</v>
      </c>
      <c r="J390" s="65">
        <v>605000</v>
      </c>
      <c r="K390" s="65">
        <v>595000</v>
      </c>
      <c r="L390" s="65">
        <v>580000</v>
      </c>
      <c r="M390" s="56" t="inlineStr">
        <is>
          <t>Yes</t>
        </is>
      </c>
      <c r="N390" t="inlineStr">
        <is>
          <t>Original</t>
        </is>
      </c>
      <c r="O390" t="inlineStr">
        <is>
          <t>QUALIFY</t>
        </is>
      </c>
      <c r="S390" t="inlineStr">
        <is>
          <t>Full ER</t>
        </is>
      </c>
    </row>
    <row r="391" spans="1:19" s="59" customFormat="1" ht="57">
      <c r="A391" s="59" t="inlineStr">
        <is>
          <t>OPVAL-P7A-S0-NT-E009</t>
        </is>
      </c>
      <c r="B391" s="59" t="inlineStr">
        <is>
          <t>OPVAL-P7A-S0-NT</t>
        </is>
      </c>
      <c r="C391" s="59" t="inlineStr">
        <is>
          <t>OPVAL</t>
        </is>
      </c>
      <c r="D391" s="63">
        <v>2026</v>
      </c>
      <c r="E391" s="63" t="inlineStr">
        <is>
          <t>P7A</t>
        </is>
      </c>
      <c r="F391" s="59" t="inlineStr">
        <is>
          <t>205 Stellar Court</t>
        </is>
      </c>
      <c r="G391" s="59" t="inlineStr">
        <is>
          <t>No Table</t>
        </is>
      </c>
      <c r="H391" s="62"/>
      <c r="I391" s="59">
        <v>9</v>
      </c>
      <c r="J391" s="66">
        <v>620000</v>
      </c>
      <c r="K391" s="66">
        <v>590000</v>
      </c>
      <c r="L391" s="66">
        <v>580000</v>
      </c>
      <c r="M391" s="63" t="inlineStr">
        <is>
          <t>No</t>
        </is>
      </c>
      <c r="N391" s="59" t="inlineStr">
        <is>
          <t>Original</t>
        </is>
      </c>
      <c r="O391" s="59" t="inlineStr">
        <is>
          <t>EXCLUDE</t>
        </is>
      </c>
      <c r="Q391" s="59">
        <v>11</v>
      </c>
      <c r="R391" s="59" t="inlineStr">
        <is>
          <t>EXCLUDE / REPLACE — material Subject transaction-state reconstruction error: purchase-contract timing was reconstructed as early May rather than March 17 / 14 DOM, and the invented extended exposure was expressly treated as market resistance and used to move F downward from I.</t>
        </is>
      </c>
      <c r="S391" s="59" t="inlineStr">
        <is>
          <t>Full ER</t>
        </is>
      </c>
    </row>
    <row r="392" spans="1:19" hidden="1">
      <c r="A392" t="inlineStr">
        <is>
          <t>OPVAL-P7A-S0-NT-E010</t>
        </is>
      </c>
      <c r="B392" t="inlineStr">
        <is>
          <t>OPVAL-P7A-S0-NT</t>
        </is>
      </c>
      <c r="C392" t="inlineStr">
        <is>
          <t>OPVAL</t>
        </is>
      </c>
      <c r="D392" s="56">
        <v>2026</v>
      </c>
      <c r="E392" s="56" t="inlineStr">
        <is>
          <t>P7A</t>
        </is>
      </c>
      <c r="F392" t="inlineStr">
        <is>
          <t>205 Stellar Court</t>
        </is>
      </c>
      <c r="G392" t="inlineStr">
        <is>
          <t>No Table</t>
        </is>
      </c>
      <c r="H392" s="62">
        <v>10</v>
      </c>
      <c r="I392">
        <v>10</v>
      </c>
      <c r="J392" s="65">
        <v>630000</v>
      </c>
      <c r="K392" s="65">
        <v>615000</v>
      </c>
      <c r="L392" s="65">
        <v>580000</v>
      </c>
      <c r="M392" s="56" t="inlineStr">
        <is>
          <t>Yes</t>
        </is>
      </c>
      <c r="N392" t="inlineStr">
        <is>
          <t>Original</t>
        </is>
      </c>
      <c r="O392" t="inlineStr">
        <is>
          <t>QUALIFY</t>
        </is>
      </c>
      <c r="R392" t="inlineStr">
        <is>
          <t>PASS — qualifying original. Subject represented at approximately 1,907 SF rather than 1,890 SF; ~0.9% discrepancy retained as non-material under established decision-materiality QC standard. Decision-material configuration and transaction state otherwise correctly reconstructed.</t>
        </is>
      </c>
      <c r="S392" t="inlineStr">
        <is>
          <t>Full ER</t>
        </is>
      </c>
    </row>
    <row r="393" spans="1:19" hidden="1">
      <c r="A393" t="inlineStr">
        <is>
          <t>OPVAL-P7A-S0-NT-E011</t>
        </is>
      </c>
      <c r="B393" t="inlineStr">
        <is>
          <t>OPVAL-P7A-S0-NT</t>
        </is>
      </c>
      <c r="C393" t="inlineStr">
        <is>
          <t>OPVAL</t>
        </is>
      </c>
      <c r="D393" s="56">
        <v>2026</v>
      </c>
      <c r="E393" s="56" t="inlineStr">
        <is>
          <t>P7A</t>
        </is>
      </c>
      <c r="F393" t="inlineStr">
        <is>
          <t>205 Stellar Court</t>
        </is>
      </c>
      <c r="G393" t="inlineStr">
        <is>
          <t>No Table</t>
        </is>
      </c>
      <c r="H393" s="62">
        <v>9</v>
      </c>
      <c r="I393">
        <v>11</v>
      </c>
      <c r="J393" s="65">
        <v>625000</v>
      </c>
      <c r="K393" s="65">
        <v>615000</v>
      </c>
      <c r="L393" s="65">
        <v>580000</v>
      </c>
      <c r="M393" s="56" t="inlineStr">
        <is>
          <t>Yes</t>
        </is>
      </c>
      <c r="N393" t="inlineStr">
        <is>
          <t>Replacement</t>
        </is>
      </c>
      <c r="O393" t="inlineStr">
        <is>
          <t>QUALIFY</t>
        </is>
      </c>
      <c r="P393">
        <v>9</v>
      </c>
      <c r="R393" t="inlineStr">
        <is>
          <t>PASS — qualifying replacement for R9. Correct Subject physical state and $599,000 list / March 3 start-showing / March 17 purchase-contract / 14-DOM transaction state; correctly interprets rapid contract formation rather than prolonged resistance. Minor 193 Crosscove comparable-area discrepancy retained as non-material.</t>
        </is>
      </c>
      <c r="S393" t="inlineStr">
        <is>
          <t>Full ER</t>
        </is>
      </c>
    </row>
    <row r="394" spans="1:19" hidden="1">
      <c r="A394" t="inlineStr">
        <is>
          <t>OPVAL-P8A-S0-NT-E001</t>
        </is>
      </c>
      <c r="B394" t="inlineStr">
        <is>
          <t>OPVAL-P8A-S0-NT</t>
        </is>
      </c>
      <c r="C394" t="inlineStr">
        <is>
          <t>OPVAL</t>
        </is>
      </c>
      <c r="D394" s="56">
        <v>2026</v>
      </c>
      <c r="E394" s="56" t="inlineStr">
        <is>
          <t>P8A</t>
        </is>
      </c>
      <c r="F394" t="inlineStr">
        <is>
          <t>173 Crossroad Lakes Drive</t>
        </is>
      </c>
      <c r="G394" t="inlineStr">
        <is>
          <t>No Table</t>
        </is>
      </c>
      <c r="H394" s="62">
        <v>1</v>
      </c>
      <c r="I394">
        <v>1</v>
      </c>
      <c r="J394" s="65">
        <v>750000</v>
      </c>
      <c r="K394" s="65">
        <v>740000</v>
      </c>
      <c r="L394" s="65">
        <v>725000</v>
      </c>
      <c r="M394" s="56" t="inlineStr">
        <is>
          <t>Yes</t>
        </is>
      </c>
      <c r="N394" t="inlineStr">
        <is>
          <t>Original</t>
        </is>
      </c>
      <c r="O394" t="inlineStr">
        <is>
          <t>QUALIFY</t>
        </is>
      </c>
      <c r="S394" t="inlineStr">
        <is>
          <t>Full ER</t>
        </is>
      </c>
    </row>
    <row r="395" spans="1:19" s="59" customFormat="1" ht="57">
      <c r="A395" s="59" t="inlineStr">
        <is>
          <t>OPVAL-P8A-S0-NT-E002</t>
        </is>
      </c>
      <c r="B395" s="59" t="inlineStr">
        <is>
          <t>OPVAL-P8A-S0-NT</t>
        </is>
      </c>
      <c r="C395" s="59" t="inlineStr">
        <is>
          <t>OPVAL</t>
        </is>
      </c>
      <c r="D395" s="63">
        <v>2026</v>
      </c>
      <c r="E395" s="63" t="inlineStr">
        <is>
          <t>P8A</t>
        </is>
      </c>
      <c r="F395" s="59" t="inlineStr">
        <is>
          <t>173 Crossroad Lakes Drive</t>
        </is>
      </c>
      <c r="G395" s="59" t="inlineStr">
        <is>
          <t>No Table</t>
        </is>
      </c>
      <c r="H395" s="62"/>
      <c r="I395" s="59">
        <v>2</v>
      </c>
      <c r="J395" s="66">
        <v>730000</v>
      </c>
      <c r="K395" s="66">
        <v>735000</v>
      </c>
      <c r="L395" s="66">
        <v>725000</v>
      </c>
      <c r="M395" s="63" t="inlineStr">
        <is>
          <t>No</t>
        </is>
      </c>
      <c r="N395" s="59" t="inlineStr">
        <is>
          <t>Original</t>
        </is>
      </c>
      <c r="O395" s="59" t="inlineStr">
        <is>
          <t>EXCLUDE</t>
        </is>
      </c>
      <c r="Q395" s="59">
        <v>11</v>
      </c>
      <c r="R395" s="59" t="inlineStr">
        <is>
          <t>EXCLUDE / REPLACE — material Subject transaction-state reconstruction error: original list reconstructed as $789,000 and market exposure as approximately 99 days rather than $780,000 / 95 DOM; erroneous Subject market-state fields entered transaction reasoning.</t>
        </is>
      </c>
      <c r="S395" s="59" t="inlineStr">
        <is>
          <t>Full ER</t>
        </is>
      </c>
    </row>
    <row r="396" spans="1:19" s="59" customFormat="1" ht="57">
      <c r="A396" s="59" t="inlineStr">
        <is>
          <t>OPVAL-P8A-S0-NT-E003</t>
        </is>
      </c>
      <c r="B396" s="59" t="inlineStr">
        <is>
          <t>OPVAL-P8A-S0-NT</t>
        </is>
      </c>
      <c r="C396" s="59" t="inlineStr">
        <is>
          <t>OPVAL</t>
        </is>
      </c>
      <c r="D396" s="63">
        <v>2026</v>
      </c>
      <c r="E396" s="63" t="inlineStr">
        <is>
          <t>P8A</t>
        </is>
      </c>
      <c r="F396" s="59" t="inlineStr">
        <is>
          <t>173 Crossroad Lakes Drive</t>
        </is>
      </c>
      <c r="G396" s="59" t="inlineStr">
        <is>
          <t>No Table</t>
        </is>
      </c>
      <c r="H396" s="62"/>
      <c r="I396" s="59">
        <v>3</v>
      </c>
      <c r="J396" s="66">
        <v>725000</v>
      </c>
      <c r="K396" s="66">
        <v>720000</v>
      </c>
      <c r="L396" s="66">
        <v>725000</v>
      </c>
      <c r="M396" s="63" t="inlineStr">
        <is>
          <t>No</t>
        </is>
      </c>
      <c r="N396" s="59" t="inlineStr">
        <is>
          <t>Original</t>
        </is>
      </c>
      <c r="O396" s="59" t="inlineStr">
        <is>
          <t>EXCLUDE</t>
        </is>
      </c>
      <c r="Q396" s="59">
        <v>12</v>
      </c>
      <c r="R396" s="59" t="inlineStr">
        <is>
          <t>EXCLUDE / REPLACE — material Subject transaction-state reconstruction error: final asking-price state reconstructed as approximately $748,000 rather than $745,000 and explicitly used in Stage 4 transaction reasoning translating I to F.</t>
        </is>
      </c>
      <c r="S396" s="59" t="inlineStr">
        <is>
          <t>Full ER</t>
        </is>
      </c>
    </row>
    <row r="397" spans="1:19" hidden="1">
      <c r="A397" t="inlineStr">
        <is>
          <t>OPVAL-P8A-S0-NT-E004</t>
        </is>
      </c>
      <c r="B397" t="inlineStr">
        <is>
          <t>OPVAL-P8A-S0-NT</t>
        </is>
      </c>
      <c r="C397" t="inlineStr">
        <is>
          <t>OPVAL</t>
        </is>
      </c>
      <c r="D397" s="56">
        <v>2026</v>
      </c>
      <c r="E397" s="56" t="inlineStr">
        <is>
          <t>P8A</t>
        </is>
      </c>
      <c r="F397" t="inlineStr">
        <is>
          <t>173 Crossroad Lakes Drive</t>
        </is>
      </c>
      <c r="G397" t="inlineStr">
        <is>
          <t>No Table</t>
        </is>
      </c>
      <c r="H397" s="62">
        <v>4</v>
      </c>
      <c r="I397">
        <v>4</v>
      </c>
      <c r="J397" s="65">
        <v>755000</v>
      </c>
      <c r="K397" s="65">
        <v>745000</v>
      </c>
      <c r="L397" s="65">
        <v>725000</v>
      </c>
      <c r="M397" s="56" t="inlineStr">
        <is>
          <t>Yes</t>
        </is>
      </c>
      <c r="N397" t="inlineStr">
        <is>
          <t>Original</t>
        </is>
      </c>
      <c r="O397" t="inlineStr">
        <is>
          <t>QUALIFY</t>
        </is>
      </c>
      <c r="S397" t="inlineStr">
        <is>
          <t>Full ER</t>
        </is>
      </c>
    </row>
    <row r="398" spans="1:19" hidden="1">
      <c r="A398" t="inlineStr">
        <is>
          <t>OPVAL-P8A-S0-NT-E005</t>
        </is>
      </c>
      <c r="B398" t="inlineStr">
        <is>
          <t>OPVAL-P8A-S0-NT</t>
        </is>
      </c>
      <c r="C398" t="inlineStr">
        <is>
          <t>OPVAL</t>
        </is>
      </c>
      <c r="D398" s="56">
        <v>2026</v>
      </c>
      <c r="E398" s="56" t="inlineStr">
        <is>
          <t>P8A</t>
        </is>
      </c>
      <c r="F398" t="inlineStr">
        <is>
          <t>173 Crossroad Lakes Drive</t>
        </is>
      </c>
      <c r="G398" t="inlineStr">
        <is>
          <t>No Table</t>
        </is>
      </c>
      <c r="H398" s="62">
        <v>5</v>
      </c>
      <c r="I398">
        <v>5</v>
      </c>
      <c r="J398" s="65">
        <v>750000</v>
      </c>
      <c r="K398" s="65">
        <v>730000</v>
      </c>
      <c r="L398" s="65">
        <v>725000</v>
      </c>
      <c r="M398" s="56" t="inlineStr">
        <is>
          <t>Yes</t>
        </is>
      </c>
      <c r="N398" t="inlineStr">
        <is>
          <t>Original</t>
        </is>
      </c>
      <c r="O398" t="inlineStr">
        <is>
          <t>QUALIFY</t>
        </is>
      </c>
      <c r="S398" t="inlineStr">
        <is>
          <t>Full ER</t>
        </is>
      </c>
    </row>
    <row r="399" spans="1:19" hidden="1">
      <c r="A399" t="inlineStr">
        <is>
          <t>OPVAL-P8A-S0-NT-E006</t>
        </is>
      </c>
      <c r="B399" t="inlineStr">
        <is>
          <t>OPVAL-P8A-S0-NT</t>
        </is>
      </c>
      <c r="C399" t="inlineStr">
        <is>
          <t>OPVAL</t>
        </is>
      </c>
      <c r="D399" s="56">
        <v>2026</v>
      </c>
      <c r="E399" s="56" t="inlineStr">
        <is>
          <t>P8A</t>
        </is>
      </c>
      <c r="F399" t="inlineStr">
        <is>
          <t>173 Crossroad Lakes Drive</t>
        </is>
      </c>
      <c r="G399" t="inlineStr">
        <is>
          <t>No Table</t>
        </is>
      </c>
      <c r="H399" s="62">
        <v>6</v>
      </c>
      <c r="I399">
        <v>6</v>
      </c>
      <c r="J399" s="65">
        <v>715000</v>
      </c>
      <c r="K399" s="65">
        <v>705000</v>
      </c>
      <c r="L399" s="65">
        <v>725000</v>
      </c>
      <c r="M399" s="56" t="inlineStr">
        <is>
          <t>Yes</t>
        </is>
      </c>
      <c r="N399" t="inlineStr">
        <is>
          <t>Original</t>
        </is>
      </c>
      <c r="O399" t="inlineStr">
        <is>
          <t>QUALIFY</t>
        </is>
      </c>
      <c r="S399" t="inlineStr">
        <is>
          <t>Full ER</t>
        </is>
      </c>
    </row>
    <row r="400" spans="1:19" hidden="1">
      <c r="A400" t="inlineStr">
        <is>
          <t>OPVAL-P8A-S0-NT-E007</t>
        </is>
      </c>
      <c r="B400" t="inlineStr">
        <is>
          <t>OPVAL-P8A-S0-NT</t>
        </is>
      </c>
      <c r="C400" t="inlineStr">
        <is>
          <t>OPVAL</t>
        </is>
      </c>
      <c r="D400" s="56">
        <v>2026</v>
      </c>
      <c r="E400" s="56" t="inlineStr">
        <is>
          <t>P8A</t>
        </is>
      </c>
      <c r="F400" t="inlineStr">
        <is>
          <t>173 Crossroad Lakes Drive</t>
        </is>
      </c>
      <c r="G400" t="inlineStr">
        <is>
          <t>No Table</t>
        </is>
      </c>
      <c r="H400" s="62">
        <v>7</v>
      </c>
      <c r="I400">
        <v>7</v>
      </c>
      <c r="J400" s="65">
        <v>735000</v>
      </c>
      <c r="K400" s="65">
        <v>730000</v>
      </c>
      <c r="L400" s="65">
        <v>725000</v>
      </c>
      <c r="M400" s="56" t="inlineStr">
        <is>
          <t>Yes</t>
        </is>
      </c>
      <c r="N400" t="inlineStr">
        <is>
          <t>Original</t>
        </is>
      </c>
      <c r="O400" t="inlineStr">
        <is>
          <t>QUALIFY</t>
        </is>
      </c>
      <c r="R400" t="inlineStr">
        <is>
          <t>PASS — qualifying original. Subject lot represented at approximately 0.25 acre rather than controlling DSS/table figure; retained as non-material under established decision-materiality QC standard because core physical configuration and transaction state were correctly reconstructed.</t>
        </is>
      </c>
      <c r="S400" t="inlineStr">
        <is>
          <t>Full ER</t>
        </is>
      </c>
    </row>
    <row r="401" spans="1:19" hidden="1">
      <c r="A401" t="inlineStr">
        <is>
          <t>OPVAL-P8A-S0-NT-E008</t>
        </is>
      </c>
      <c r="B401" t="inlineStr">
        <is>
          <t>OPVAL-P8A-S0-NT</t>
        </is>
      </c>
      <c r="C401" t="inlineStr">
        <is>
          <t>OPVAL</t>
        </is>
      </c>
      <c r="D401" s="56">
        <v>2026</v>
      </c>
      <c r="E401" s="56" t="inlineStr">
        <is>
          <t>P8A</t>
        </is>
      </c>
      <c r="F401" t="inlineStr">
        <is>
          <t>173 Crossroad Lakes Drive</t>
        </is>
      </c>
      <c r="G401" t="inlineStr">
        <is>
          <t>No Table</t>
        </is>
      </c>
      <c r="H401" s="62">
        <v>8</v>
      </c>
      <c r="I401">
        <v>8</v>
      </c>
      <c r="J401" s="65">
        <v>735000</v>
      </c>
      <c r="K401" s="65">
        <v>725000</v>
      </c>
      <c r="L401" s="65">
        <v>725000</v>
      </c>
      <c r="M401" s="56" t="inlineStr">
        <is>
          <t>Yes</t>
        </is>
      </c>
      <c r="N401" t="inlineStr">
        <is>
          <t>Original</t>
        </is>
      </c>
      <c r="O401" t="inlineStr">
        <is>
          <t>QUALIFY</t>
        </is>
      </c>
      <c r="S401" t="inlineStr">
        <is>
          <t>Full ER</t>
        </is>
      </c>
    </row>
    <row r="402" spans="1:19" hidden="1">
      <c r="A402" t="inlineStr">
        <is>
          <t>OPVAL-P8A-S0-NT-E009</t>
        </is>
      </c>
      <c r="B402" t="inlineStr">
        <is>
          <t>OPVAL-P8A-S0-NT</t>
        </is>
      </c>
      <c r="C402" t="inlineStr">
        <is>
          <t>OPVAL</t>
        </is>
      </c>
      <c r="D402" s="56">
        <v>2026</v>
      </c>
      <c r="E402" s="56" t="inlineStr">
        <is>
          <t>P8A</t>
        </is>
      </c>
      <c r="F402" t="inlineStr">
        <is>
          <t>173 Crossroad Lakes Drive</t>
        </is>
      </c>
      <c r="G402" t="inlineStr">
        <is>
          <t>No Table</t>
        </is>
      </c>
      <c r="H402" s="62">
        <v>9</v>
      </c>
      <c r="I402">
        <v>9</v>
      </c>
      <c r="J402" s="65">
        <v>720000</v>
      </c>
      <c r="K402" s="65">
        <v>710000</v>
      </c>
      <c r="L402" s="65">
        <v>725000</v>
      </c>
      <c r="M402" s="56" t="inlineStr">
        <is>
          <t>Yes</t>
        </is>
      </c>
      <c r="N402" t="inlineStr">
        <is>
          <t>Original</t>
        </is>
      </c>
      <c r="O402" t="inlineStr">
        <is>
          <t>QUALIFY</t>
        </is>
      </c>
      <c r="S402" t="inlineStr">
        <is>
          <t>Full ER</t>
        </is>
      </c>
    </row>
    <row r="403" spans="1:19" hidden="1">
      <c r="A403" t="inlineStr">
        <is>
          <t>OPVAL-P8A-S0-NT-E010</t>
        </is>
      </c>
      <c r="B403" t="inlineStr">
        <is>
          <t>OPVAL-P8A-S0-NT</t>
        </is>
      </c>
      <c r="C403" t="inlineStr">
        <is>
          <t>OPVAL</t>
        </is>
      </c>
      <c r="D403" s="56">
        <v>2026</v>
      </c>
      <c r="E403" s="56" t="inlineStr">
        <is>
          <t>P8A</t>
        </is>
      </c>
      <c r="F403" t="inlineStr">
        <is>
          <t>173 Crossroad Lakes Drive</t>
        </is>
      </c>
      <c r="G403" t="inlineStr">
        <is>
          <t>No Table</t>
        </is>
      </c>
      <c r="H403" s="62">
        <v>10</v>
      </c>
      <c r="I403">
        <v>10</v>
      </c>
      <c r="J403" s="65">
        <v>730000</v>
      </c>
      <c r="K403" s="65">
        <v>725000</v>
      </c>
      <c r="L403" s="65">
        <v>725000</v>
      </c>
      <c r="M403" s="56" t="inlineStr">
        <is>
          <t>Yes</t>
        </is>
      </c>
      <c r="N403" t="inlineStr">
        <is>
          <t>Original</t>
        </is>
      </c>
      <c r="O403" t="inlineStr">
        <is>
          <t>QUALIFY</t>
        </is>
      </c>
      <c r="R403" t="inlineStr">
        <is>
          <t>PASS — qualifying original. Subject lot represented at approximately 0.19 acre rather than controlling DSS/table figure; retained as non-material under established decision-materiality QC standard.</t>
        </is>
      </c>
      <c r="S403" t="inlineStr">
        <is>
          <t>Full ER</t>
        </is>
      </c>
    </row>
    <row r="404" spans="1:19" hidden="1">
      <c r="A404" t="inlineStr">
        <is>
          <t>OPVAL-P8A-S0-NT-E011</t>
        </is>
      </c>
      <c r="B404" t="inlineStr">
        <is>
          <t>OPVAL-P8A-S0-NT</t>
        </is>
      </c>
      <c r="C404" t="inlineStr">
        <is>
          <t>OPVAL</t>
        </is>
      </c>
      <c r="D404" s="56">
        <v>2026</v>
      </c>
      <c r="E404" s="56" t="inlineStr">
        <is>
          <t>P8A</t>
        </is>
      </c>
      <c r="F404" t="inlineStr">
        <is>
          <t>173 Crossroad Lakes Drive</t>
        </is>
      </c>
      <c r="G404" t="inlineStr">
        <is>
          <t>No Table</t>
        </is>
      </c>
      <c r="H404" s="62">
        <v>2</v>
      </c>
      <c r="I404">
        <v>11</v>
      </c>
      <c r="J404" s="65">
        <v>710000</v>
      </c>
      <c r="K404" s="65">
        <v>700000</v>
      </c>
      <c r="L404" s="65">
        <v>725000</v>
      </c>
      <c r="M404" s="56" t="inlineStr">
        <is>
          <t>Yes</t>
        </is>
      </c>
      <c r="N404" t="inlineStr">
        <is>
          <t>Replacement</t>
        </is>
      </c>
      <c r="O404" t="inlineStr">
        <is>
          <t>QUALIFY</t>
        </is>
      </c>
      <c r="P404">
        <v>2</v>
      </c>
      <c r="R404" t="inlineStr">
        <is>
          <t>PASS — qualifying replacement for R2. Correct Subject physical state and $780,000 original / $745,000 final / 95-DOM / May 3 purchase-contract transaction state.</t>
        </is>
      </c>
      <c r="S404" t="inlineStr">
        <is>
          <t>Full ER</t>
        </is>
      </c>
    </row>
    <row r="405" spans="1:19" hidden="1">
      <c r="A405" t="inlineStr">
        <is>
          <t>OPVAL-P8A-S0-NT-E012</t>
        </is>
      </c>
      <c r="B405" t="inlineStr">
        <is>
          <t>OPVAL-P8A-S0-NT</t>
        </is>
      </c>
      <c r="C405" t="inlineStr">
        <is>
          <t>OPVAL</t>
        </is>
      </c>
      <c r="D405" s="56">
        <v>2026</v>
      </c>
      <c r="E405" s="56" t="inlineStr">
        <is>
          <t>P8A</t>
        </is>
      </c>
      <c r="F405" t="inlineStr">
        <is>
          <t>173 Crossroad Lakes Drive</t>
        </is>
      </c>
      <c r="G405" t="inlineStr">
        <is>
          <t>No Table</t>
        </is>
      </c>
      <c r="H405" s="62">
        <v>3</v>
      </c>
      <c r="I405">
        <v>12</v>
      </c>
      <c r="J405" s="65">
        <v>730000</v>
      </c>
      <c r="K405" s="65">
        <v>720000</v>
      </c>
      <c r="L405" s="65">
        <v>725000</v>
      </c>
      <c r="M405" s="56" t="inlineStr">
        <is>
          <t>Yes</t>
        </is>
      </c>
      <c r="N405" t="inlineStr">
        <is>
          <t>Replacement</t>
        </is>
      </c>
      <c r="O405" t="inlineStr">
        <is>
          <t>QUALIFY</t>
        </is>
      </c>
      <c r="P405">
        <v>3</v>
      </c>
      <c r="R405" t="inlineStr">
        <is>
          <t>PASS — qualifying replacement for R3. Correct Subject physical state and $780,000 original / $745,000 final / 95-DOM / May 3 purchase-contract transaction state; transaction reasoning uses corrected state.</t>
        </is>
      </c>
      <c r="S405" t="inlineStr">
        <is>
          <t>Full ER</t>
        </is>
      </c>
    </row>
    <row r="406" spans="1:19" hidden="1">
      <c r="A406" t="inlineStr">
        <is>
          <t>OPVAL-P9A-S0-NT-E001</t>
        </is>
      </c>
      <c r="B406" t="inlineStr">
        <is>
          <t>OPVAL-P9A-S0-NT</t>
        </is>
      </c>
      <c r="C406" t="inlineStr">
        <is>
          <t>OPVAL</t>
        </is>
      </c>
      <c r="D406" s="56">
        <v>2026</v>
      </c>
      <c r="E406" s="56" t="inlineStr">
        <is>
          <t>P9A</t>
        </is>
      </c>
      <c r="F406" t="inlineStr">
        <is>
          <t>120 Summer Tree Court</t>
        </is>
      </c>
      <c r="G406" t="inlineStr">
        <is>
          <t>No Table</t>
        </is>
      </c>
      <c r="H406" s="62">
        <v>1</v>
      </c>
      <c r="I406">
        <v>1</v>
      </c>
      <c r="J406" s="65">
        <v>595000</v>
      </c>
      <c r="K406" s="65">
        <v>585000</v>
      </c>
      <c r="L406" s="65">
        <v>600000</v>
      </c>
      <c r="M406" s="56" t="inlineStr">
        <is>
          <t>Yes</t>
        </is>
      </c>
      <c r="N406" t="inlineStr">
        <is>
          <t>Original</t>
        </is>
      </c>
      <c r="O406" t="inlineStr">
        <is>
          <t>QUALIFY</t>
        </is>
      </c>
      <c r="S406" t="inlineStr">
        <is>
          <t>Full ER</t>
        </is>
      </c>
    </row>
    <row r="407" spans="1:19" hidden="1">
      <c r="A407" t="inlineStr">
        <is>
          <t>OPVAL-P9A-S0-NT-E002</t>
        </is>
      </c>
      <c r="B407" t="inlineStr">
        <is>
          <t>OPVAL-P9A-S0-NT</t>
        </is>
      </c>
      <c r="C407" t="inlineStr">
        <is>
          <t>OPVAL</t>
        </is>
      </c>
      <c r="D407" s="56">
        <v>2026</v>
      </c>
      <c r="E407" s="56" t="inlineStr">
        <is>
          <t>P9A</t>
        </is>
      </c>
      <c r="F407" t="inlineStr">
        <is>
          <t>120 Summer Tree Court</t>
        </is>
      </c>
      <c r="G407" t="inlineStr">
        <is>
          <t>No Table</t>
        </is>
      </c>
      <c r="H407" s="62">
        <v>2</v>
      </c>
      <c r="I407">
        <v>2</v>
      </c>
      <c r="J407" s="65">
        <v>615000</v>
      </c>
      <c r="K407" s="65">
        <v>610000</v>
      </c>
      <c r="L407" s="65">
        <v>600000</v>
      </c>
      <c r="M407" s="56" t="inlineStr">
        <is>
          <t>Yes</t>
        </is>
      </c>
      <c r="N407" t="inlineStr">
        <is>
          <t>Original</t>
        </is>
      </c>
      <c r="O407" t="inlineStr">
        <is>
          <t>QUALIFY</t>
        </is>
      </c>
      <c r="S407" t="inlineStr">
        <is>
          <t>Full ER</t>
        </is>
      </c>
    </row>
    <row r="408" spans="1:19" hidden="1">
      <c r="A408" t="inlineStr">
        <is>
          <t>OPVAL-P9A-S0-NT-E003</t>
        </is>
      </c>
      <c r="B408" t="inlineStr">
        <is>
          <t>OPVAL-P9A-S0-NT</t>
        </is>
      </c>
      <c r="C408" t="inlineStr">
        <is>
          <t>OPVAL</t>
        </is>
      </c>
      <c r="D408" s="56">
        <v>2026</v>
      </c>
      <c r="E408" s="56" t="inlineStr">
        <is>
          <t>P9A</t>
        </is>
      </c>
      <c r="F408" t="inlineStr">
        <is>
          <t>120 Summer Tree Court</t>
        </is>
      </c>
      <c r="G408" t="inlineStr">
        <is>
          <t>No Table</t>
        </is>
      </c>
      <c r="H408" s="62">
        <v>3</v>
      </c>
      <c r="I408">
        <v>3</v>
      </c>
      <c r="J408" s="65">
        <v>625000</v>
      </c>
      <c r="K408" s="65">
        <v>610000</v>
      </c>
      <c r="L408" s="65">
        <v>600000</v>
      </c>
      <c r="M408" s="56" t="inlineStr">
        <is>
          <t>Yes</t>
        </is>
      </c>
      <c r="N408" t="inlineStr">
        <is>
          <t>Original</t>
        </is>
      </c>
      <c r="O408" t="inlineStr">
        <is>
          <t>QUALIFY</t>
        </is>
      </c>
      <c r="S408" t="inlineStr">
        <is>
          <t>Full ER</t>
        </is>
      </c>
    </row>
    <row r="409" spans="1:19" hidden="1">
      <c r="A409" t="inlineStr">
        <is>
          <t>OPVAL-P9A-S0-NT-E004</t>
        </is>
      </c>
      <c r="B409" t="inlineStr">
        <is>
          <t>OPVAL-P9A-S0-NT</t>
        </is>
      </c>
      <c r="C409" t="inlineStr">
        <is>
          <t>OPVAL</t>
        </is>
      </c>
      <c r="D409" s="56">
        <v>2026</v>
      </c>
      <c r="E409" s="56" t="inlineStr">
        <is>
          <t>P9A</t>
        </is>
      </c>
      <c r="F409" t="inlineStr">
        <is>
          <t>120 Summer Tree Court</t>
        </is>
      </c>
      <c r="G409" t="inlineStr">
        <is>
          <t>No Table</t>
        </is>
      </c>
      <c r="H409" s="62">
        <v>4</v>
      </c>
      <c r="I409">
        <v>4</v>
      </c>
      <c r="J409" s="65">
        <v>610000</v>
      </c>
      <c r="K409" s="65">
        <v>600000</v>
      </c>
      <c r="L409" s="65">
        <v>600000</v>
      </c>
      <c r="M409" s="56" t="inlineStr">
        <is>
          <t>Yes</t>
        </is>
      </c>
      <c r="N409" t="inlineStr">
        <is>
          <t>Original</t>
        </is>
      </c>
      <c r="O409" t="inlineStr">
        <is>
          <t>QUALIFY</t>
        </is>
      </c>
      <c r="S409" t="inlineStr">
        <is>
          <t>Full ER</t>
        </is>
      </c>
    </row>
    <row r="410" spans="1:19" hidden="1">
      <c r="A410" t="inlineStr">
        <is>
          <t>OPVAL-P9A-S0-NT-E005</t>
        </is>
      </c>
      <c r="B410" t="inlineStr">
        <is>
          <t>OPVAL-P9A-S0-NT</t>
        </is>
      </c>
      <c r="C410" t="inlineStr">
        <is>
          <t>OPVAL</t>
        </is>
      </c>
      <c r="D410" s="56">
        <v>2026</v>
      </c>
      <c r="E410" s="56" t="inlineStr">
        <is>
          <t>P9A</t>
        </is>
      </c>
      <c r="F410" t="inlineStr">
        <is>
          <t>120 Summer Tree Court</t>
        </is>
      </c>
      <c r="G410" t="inlineStr">
        <is>
          <t>No Table</t>
        </is>
      </c>
      <c r="H410" s="62">
        <v>5</v>
      </c>
      <c r="I410">
        <v>5</v>
      </c>
      <c r="J410" s="65">
        <v>645000</v>
      </c>
      <c r="K410" s="65">
        <v>615000</v>
      </c>
      <c r="L410" s="65">
        <v>600000</v>
      </c>
      <c r="M410" s="56" t="inlineStr">
        <is>
          <t>Yes</t>
        </is>
      </c>
      <c r="N410" t="inlineStr">
        <is>
          <t>Original</t>
        </is>
      </c>
      <c r="O410" t="inlineStr">
        <is>
          <t>QUALIFY</t>
        </is>
      </c>
      <c r="S410" t="inlineStr">
        <is>
          <t>Full ER</t>
        </is>
      </c>
    </row>
    <row r="411" spans="1:19" hidden="1">
      <c r="A411" t="inlineStr">
        <is>
          <t>OPVAL-P9A-S0-NT-E006</t>
        </is>
      </c>
      <c r="B411" t="inlineStr">
        <is>
          <t>OPVAL-P9A-S0-NT</t>
        </is>
      </c>
      <c r="C411" t="inlineStr">
        <is>
          <t>OPVAL</t>
        </is>
      </c>
      <c r="D411" s="56">
        <v>2026</v>
      </c>
      <c r="E411" s="56" t="inlineStr">
        <is>
          <t>P9A</t>
        </is>
      </c>
      <c r="F411" t="inlineStr">
        <is>
          <t>120 Summer Tree Court</t>
        </is>
      </c>
      <c r="G411" t="inlineStr">
        <is>
          <t>No Table</t>
        </is>
      </c>
      <c r="H411" s="62">
        <v>6</v>
      </c>
      <c r="I411">
        <v>6</v>
      </c>
      <c r="J411" s="65">
        <v>625000</v>
      </c>
      <c r="K411" s="65">
        <v>610000</v>
      </c>
      <c r="L411" s="65">
        <v>600000</v>
      </c>
      <c r="M411" s="56" t="inlineStr">
        <is>
          <t>Yes</t>
        </is>
      </c>
      <c r="N411" t="inlineStr">
        <is>
          <t>Original</t>
        </is>
      </c>
      <c r="O411" t="inlineStr">
        <is>
          <t>QUALIFY</t>
        </is>
      </c>
      <c r="S411" t="inlineStr">
        <is>
          <t>Full ER</t>
        </is>
      </c>
    </row>
    <row r="412" spans="1:19" hidden="1">
      <c r="A412" t="inlineStr">
        <is>
          <t>OPVAL-P9A-S0-NT-E007</t>
        </is>
      </c>
      <c r="B412" t="inlineStr">
        <is>
          <t>OPVAL-P9A-S0-NT</t>
        </is>
      </c>
      <c r="C412" t="inlineStr">
        <is>
          <t>OPVAL</t>
        </is>
      </c>
      <c r="D412" s="56">
        <v>2026</v>
      </c>
      <c r="E412" s="56" t="inlineStr">
        <is>
          <t>P9A</t>
        </is>
      </c>
      <c r="F412" t="inlineStr">
        <is>
          <t>120 Summer Tree Court</t>
        </is>
      </c>
      <c r="G412" t="inlineStr">
        <is>
          <t>No Table</t>
        </is>
      </c>
      <c r="H412" s="62">
        <v>7</v>
      </c>
      <c r="I412">
        <v>7</v>
      </c>
      <c r="J412" s="65">
        <v>615000</v>
      </c>
      <c r="K412" s="65">
        <v>600000</v>
      </c>
      <c r="L412" s="65">
        <v>600000</v>
      </c>
      <c r="M412" s="56" t="inlineStr">
        <is>
          <t>Yes</t>
        </is>
      </c>
      <c r="N412" t="inlineStr">
        <is>
          <t>Original</t>
        </is>
      </c>
      <c r="O412" t="inlineStr">
        <is>
          <t>QUALIFY</t>
        </is>
      </c>
      <c r="S412" t="inlineStr">
        <is>
          <t>Full ER</t>
        </is>
      </c>
    </row>
    <row r="413" spans="1:19" hidden="1">
      <c r="A413" t="inlineStr">
        <is>
          <t>OPVAL-P9A-S0-NT-E008</t>
        </is>
      </c>
      <c r="B413" t="inlineStr">
        <is>
          <t>OPVAL-P9A-S0-NT</t>
        </is>
      </c>
      <c r="C413" t="inlineStr">
        <is>
          <t>OPVAL</t>
        </is>
      </c>
      <c r="D413" s="56">
        <v>2026</v>
      </c>
      <c r="E413" s="56" t="inlineStr">
        <is>
          <t>P9A</t>
        </is>
      </c>
      <c r="F413" t="inlineStr">
        <is>
          <t>120 Summer Tree Court</t>
        </is>
      </c>
      <c r="G413" t="inlineStr">
        <is>
          <t>No Table</t>
        </is>
      </c>
      <c r="H413" s="62">
        <v>8</v>
      </c>
      <c r="I413">
        <v>8</v>
      </c>
      <c r="J413" s="65">
        <v>615000</v>
      </c>
      <c r="K413" s="65">
        <v>610000</v>
      </c>
      <c r="L413" s="65">
        <v>600000</v>
      </c>
      <c r="M413" s="56" t="inlineStr">
        <is>
          <t>Yes</t>
        </is>
      </c>
      <c r="N413" t="inlineStr">
        <is>
          <t>Original</t>
        </is>
      </c>
      <c r="O413" t="inlineStr">
        <is>
          <t>QUALIFY</t>
        </is>
      </c>
      <c r="S413" t="inlineStr">
        <is>
          <t>Full ER</t>
        </is>
      </c>
    </row>
    <row r="414" spans="1:19" s="59" customFormat="1" ht="71.25">
      <c r="A414" s="59" t="inlineStr">
        <is>
          <t>OPVAL-P9A-S0-NT-E009</t>
        </is>
      </c>
      <c r="B414" s="59" t="inlineStr">
        <is>
          <t>OPVAL-P9A-S0-NT</t>
        </is>
      </c>
      <c r="C414" s="59" t="inlineStr">
        <is>
          <t>OPVAL</t>
        </is>
      </c>
      <c r="D414" s="63">
        <v>2026</v>
      </c>
      <c r="E414" s="63" t="inlineStr">
        <is>
          <t>P9A</t>
        </is>
      </c>
      <c r="F414" s="59" t="inlineStr">
        <is>
          <t>120 Summer Tree Court</t>
        </is>
      </c>
      <c r="G414" s="59" t="inlineStr">
        <is>
          <t>No Table</t>
        </is>
      </c>
      <c r="H414" s="62"/>
      <c r="I414" s="59">
        <v>9</v>
      </c>
      <c r="J414" s="66">
        <v>700000</v>
      </c>
      <c r="K414" s="66">
        <v>625000</v>
      </c>
      <c r="L414" s="66">
        <v>600000</v>
      </c>
      <c r="M414" s="63" t="inlineStr">
        <is>
          <t>No</t>
        </is>
      </c>
      <c r="N414" s="59" t="inlineStr">
        <is>
          <t>Original</t>
        </is>
      </c>
      <c r="O414" s="59" t="inlineStr">
        <is>
          <t>EXCLUDE</t>
        </is>
      </c>
      <c r="Q414" s="59">
        <v>11</v>
      </c>
      <c r="R414" s="59" t="inlineStr">
        <is>
          <t>EXCLUDE / REPLACE — catastrophic Subject-identity reconstruction failure. ER valued 104 Seaside Circle (~2,426 SF, 3/3, lakefront) as the designated Subject and treated actual P9A Subject 120 Summer Tree Court as a completed comparable with a purported ~$625,000 transaction outcome. Wrong DN instance and outcome-contaminating state inversion.</t>
        </is>
      </c>
      <c r="S414" s="59" t="inlineStr">
        <is>
          <t>Full ER</t>
        </is>
      </c>
    </row>
    <row r="415" spans="1:19" hidden="1">
      <c r="A415" t="inlineStr">
        <is>
          <t>OPVAL-P9A-S0-NT-E010</t>
        </is>
      </c>
      <c r="B415" t="inlineStr">
        <is>
          <t>OPVAL-P9A-S0-NT</t>
        </is>
      </c>
      <c r="C415" t="inlineStr">
        <is>
          <t>OPVAL</t>
        </is>
      </c>
      <c r="D415" s="56">
        <v>2026</v>
      </c>
      <c r="E415" s="56" t="inlineStr">
        <is>
          <t>P9A</t>
        </is>
      </c>
      <c r="F415" t="inlineStr">
        <is>
          <t>120 Summer Tree Court</t>
        </is>
      </c>
      <c r="G415" t="inlineStr">
        <is>
          <t>No Table</t>
        </is>
      </c>
      <c r="H415" s="62">
        <v>10</v>
      </c>
      <c r="I415">
        <v>10</v>
      </c>
      <c r="J415" s="65">
        <v>605000</v>
      </c>
      <c r="K415" s="65">
        <v>600000</v>
      </c>
      <c r="L415" s="65">
        <v>600000</v>
      </c>
      <c r="M415" s="56" t="inlineStr">
        <is>
          <t>Yes</t>
        </is>
      </c>
      <c r="N415" t="inlineStr">
        <is>
          <t>Original</t>
        </is>
      </c>
      <c r="O415" t="inlineStr">
        <is>
          <t>QUALIFY</t>
        </is>
      </c>
      <c r="S415" t="inlineStr">
        <is>
          <t>Full ER</t>
        </is>
      </c>
    </row>
    <row r="416" spans="1:19" hidden="1">
      <c r="A416" t="inlineStr">
        <is>
          <t>OPVAL-P9A-S0-NT-E011</t>
        </is>
      </c>
      <c r="B416" t="inlineStr">
        <is>
          <t>OPVAL-P9A-S0-NT</t>
        </is>
      </c>
      <c r="C416" t="inlineStr">
        <is>
          <t>OPVAL</t>
        </is>
      </c>
      <c r="D416" s="56">
        <v>2026</v>
      </c>
      <c r="E416" s="56" t="inlineStr">
        <is>
          <t>P9A</t>
        </is>
      </c>
      <c r="F416" t="inlineStr">
        <is>
          <t>120 Summer Tree Court</t>
        </is>
      </c>
      <c r="G416" t="inlineStr">
        <is>
          <t>No Table</t>
        </is>
      </c>
      <c r="H416" s="62">
        <v>9</v>
      </c>
      <c r="I416">
        <v>11</v>
      </c>
      <c r="J416" s="65">
        <v>625000</v>
      </c>
      <c r="K416" s="65">
        <v>610000</v>
      </c>
      <c r="L416" s="65">
        <v>600000</v>
      </c>
      <c r="M416" s="56" t="inlineStr">
        <is>
          <t>Yes</t>
        </is>
      </c>
      <c r="N416" t="inlineStr">
        <is>
          <t>Replacement</t>
        </is>
      </c>
      <c r="O416" t="inlineStr">
        <is>
          <t>QUALIFY</t>
        </is>
      </c>
      <c r="P416">
        <v>9</v>
      </c>
      <c r="R416" t="inlineStr">
        <is>
          <t>PASS — qualifying replacement for R9. Correctly identifies 120 Summer Tree Court and reconstructs decision-material Subject state: 1,923 SF, 3/2, 2-car, ~0.24 acre, waterfront, no private pool; correct $725,000 original / $625,000 final / 107-DOM / Feb. 20 purchase-contract state. Outcome remains redacted.</t>
        </is>
      </c>
      <c r="S416" t="inlineStr">
        <is>
          <t>Full ER</t>
        </is>
      </c>
    </row>
    <row r="417" spans="1:19" hidden="1">
      <c r="A417" t="inlineStr">
        <is>
          <t>OPVAL-P1A-S0-T-E001</t>
        </is>
      </c>
      <c r="B417" t="inlineStr">
        <is>
          <t>OPVAL-P1A-S0-T</t>
        </is>
      </c>
      <c r="C417" t="inlineStr">
        <is>
          <t>OPVAL</t>
        </is>
      </c>
      <c r="D417" s="56">
        <v>2026</v>
      </c>
      <c r="E417" s="56" t="inlineStr">
        <is>
          <t>P1A</t>
        </is>
      </c>
      <c r="F417" t="inlineStr">
        <is>
          <t>132 Patrick Mill Circle</t>
        </is>
      </c>
      <c r="G417" t="inlineStr">
        <is>
          <t>Table</t>
        </is>
      </c>
      <c r="H417" s="62">
        <v>1</v>
      </c>
      <c r="I417">
        <v>1</v>
      </c>
      <c r="J417" s="65">
        <v>655000</v>
      </c>
      <c r="K417" s="65">
        <v>640000</v>
      </c>
      <c r="L417" s="65">
        <v>650000</v>
      </c>
      <c r="M417" s="56" t="inlineStr">
        <is>
          <t>Yes</t>
        </is>
      </c>
      <c r="N417" t="inlineStr">
        <is>
          <t>Original</t>
        </is>
      </c>
      <c r="O417" t="inlineStr">
        <is>
          <t>QUALIFY</t>
        </is>
      </c>
      <c r="S417" t="inlineStr">
        <is>
          <t>Full ledger row</t>
        </is>
      </c>
    </row>
    <row r="418" spans="1:19" hidden="1">
      <c r="A418" t="inlineStr">
        <is>
          <t>OPVAL-P1A-S0-T-E002</t>
        </is>
      </c>
      <c r="B418" t="inlineStr">
        <is>
          <t>OPVAL-P1A-S0-T</t>
        </is>
      </c>
      <c r="C418" t="inlineStr">
        <is>
          <t>OPVAL</t>
        </is>
      </c>
      <c r="D418" s="56">
        <v>2026</v>
      </c>
      <c r="E418" s="56" t="inlineStr">
        <is>
          <t>P1A</t>
        </is>
      </c>
      <c r="F418" t="inlineStr">
        <is>
          <t>132 Patrick Mill Circle</t>
        </is>
      </c>
      <c r="G418" t="inlineStr">
        <is>
          <t>Table</t>
        </is>
      </c>
      <c r="H418" s="62">
        <v>2</v>
      </c>
      <c r="I418">
        <v>2</v>
      </c>
      <c r="J418" s="65">
        <v>665000</v>
      </c>
      <c r="K418" s="65">
        <v>635000</v>
      </c>
      <c r="L418" s="65">
        <v>650000</v>
      </c>
      <c r="M418" s="56" t="inlineStr">
        <is>
          <t>Yes</t>
        </is>
      </c>
      <c r="N418" t="inlineStr">
        <is>
          <t>Original</t>
        </is>
      </c>
      <c r="O418" t="inlineStr">
        <is>
          <t>QUALIFY</t>
        </is>
      </c>
      <c r="S418" t="inlineStr">
        <is>
          <t>Full ledger row</t>
        </is>
      </c>
    </row>
    <row r="419" spans="1:19" hidden="1">
      <c r="A419" t="inlineStr">
        <is>
          <t>OPVAL-P1A-S0-T-E003</t>
        </is>
      </c>
      <c r="B419" t="inlineStr">
        <is>
          <t>OPVAL-P1A-S0-T</t>
        </is>
      </c>
      <c r="C419" t="inlineStr">
        <is>
          <t>OPVAL</t>
        </is>
      </c>
      <c r="D419" s="56">
        <v>2026</v>
      </c>
      <c r="E419" s="56" t="inlineStr">
        <is>
          <t>P1A</t>
        </is>
      </c>
      <c r="F419" t="inlineStr">
        <is>
          <t>132 Patrick Mill Circle</t>
        </is>
      </c>
      <c r="G419" t="inlineStr">
        <is>
          <t>Table</t>
        </is>
      </c>
      <c r="H419" s="62">
        <v>3</v>
      </c>
      <c r="I419">
        <v>3</v>
      </c>
      <c r="J419" s="65">
        <v>650000</v>
      </c>
      <c r="K419" s="65">
        <v>640000</v>
      </c>
      <c r="L419" s="65">
        <v>650000</v>
      </c>
      <c r="M419" s="56" t="inlineStr">
        <is>
          <t>Yes</t>
        </is>
      </c>
      <c r="N419" t="inlineStr">
        <is>
          <t>Original</t>
        </is>
      </c>
      <c r="O419" t="inlineStr">
        <is>
          <t>QUALIFY</t>
        </is>
      </c>
      <c r="S419" t="inlineStr">
        <is>
          <t>Full ledger row</t>
        </is>
      </c>
    </row>
    <row r="420" spans="1:19" hidden="1">
      <c r="A420" t="inlineStr">
        <is>
          <t>OPVAL-P1A-S0-T-E004</t>
        </is>
      </c>
      <c r="B420" t="inlineStr">
        <is>
          <t>OPVAL-P1A-S0-T</t>
        </is>
      </c>
      <c r="C420" t="inlineStr">
        <is>
          <t>OPVAL</t>
        </is>
      </c>
      <c r="D420" s="56">
        <v>2026</v>
      </c>
      <c r="E420" s="56" t="inlineStr">
        <is>
          <t>P1A</t>
        </is>
      </c>
      <c r="F420" t="inlineStr">
        <is>
          <t>132 Patrick Mill Circle</t>
        </is>
      </c>
      <c r="G420" t="inlineStr">
        <is>
          <t>Table</t>
        </is>
      </c>
      <c r="H420" s="62">
        <v>4</v>
      </c>
      <c r="I420">
        <v>4</v>
      </c>
      <c r="J420" s="65">
        <v>650000</v>
      </c>
      <c r="K420" s="65">
        <v>640000</v>
      </c>
      <c r="L420" s="65">
        <v>650000</v>
      </c>
      <c r="M420" s="56" t="inlineStr">
        <is>
          <t>Yes</t>
        </is>
      </c>
      <c r="N420" t="inlineStr">
        <is>
          <t>Original</t>
        </is>
      </c>
      <c r="O420" t="inlineStr">
        <is>
          <t>QUALIFY</t>
        </is>
      </c>
      <c r="S420" t="inlineStr">
        <is>
          <t>Full ledger row</t>
        </is>
      </c>
    </row>
    <row r="421" spans="1:19" hidden="1">
      <c r="A421" t="inlineStr">
        <is>
          <t>OPVAL-P1A-S0-T-E005</t>
        </is>
      </c>
      <c r="B421" t="inlineStr">
        <is>
          <t>OPVAL-P1A-S0-T</t>
        </is>
      </c>
      <c r="C421" t="inlineStr">
        <is>
          <t>OPVAL</t>
        </is>
      </c>
      <c r="D421" s="56">
        <v>2026</v>
      </c>
      <c r="E421" s="56" t="inlineStr">
        <is>
          <t>P1A</t>
        </is>
      </c>
      <c r="F421" t="inlineStr">
        <is>
          <t>132 Patrick Mill Circle</t>
        </is>
      </c>
      <c r="G421" t="inlineStr">
        <is>
          <t>Table</t>
        </is>
      </c>
      <c r="H421" s="62">
        <v>5</v>
      </c>
      <c r="I421">
        <v>5</v>
      </c>
      <c r="J421" s="65">
        <v>650000</v>
      </c>
      <c r="K421" s="65">
        <v>635000</v>
      </c>
      <c r="L421" s="65">
        <v>650000</v>
      </c>
      <c r="M421" s="56" t="inlineStr">
        <is>
          <t>Yes</t>
        </is>
      </c>
      <c r="N421" t="inlineStr">
        <is>
          <t>Original</t>
        </is>
      </c>
      <c r="O421" t="inlineStr">
        <is>
          <t>QUALIFY</t>
        </is>
      </c>
      <c r="S421" t="inlineStr">
        <is>
          <t>Full ledger row</t>
        </is>
      </c>
    </row>
    <row r="422" spans="1:19" hidden="1">
      <c r="A422" t="inlineStr">
        <is>
          <t>OPVAL-P1A-S0-T-E006</t>
        </is>
      </c>
      <c r="B422" t="inlineStr">
        <is>
          <t>OPVAL-P1A-S0-T</t>
        </is>
      </c>
      <c r="C422" t="inlineStr">
        <is>
          <t>OPVAL</t>
        </is>
      </c>
      <c r="D422" s="56">
        <v>2026</v>
      </c>
      <c r="E422" s="56" t="inlineStr">
        <is>
          <t>P1A</t>
        </is>
      </c>
      <c r="F422" t="inlineStr">
        <is>
          <t>132 Patrick Mill Circle</t>
        </is>
      </c>
      <c r="G422" t="inlineStr">
        <is>
          <t>Table</t>
        </is>
      </c>
      <c r="H422" s="62">
        <v>6</v>
      </c>
      <c r="I422">
        <v>6</v>
      </c>
      <c r="J422" s="65">
        <v>655000</v>
      </c>
      <c r="K422" s="65">
        <v>640000</v>
      </c>
      <c r="L422" s="65">
        <v>650000</v>
      </c>
      <c r="M422" s="56" t="inlineStr">
        <is>
          <t>Yes</t>
        </is>
      </c>
      <c r="N422" t="inlineStr">
        <is>
          <t>Original</t>
        </is>
      </c>
      <c r="O422" t="inlineStr">
        <is>
          <t>QUALIFY</t>
        </is>
      </c>
      <c r="S422" t="inlineStr">
        <is>
          <t>Full ledger row</t>
        </is>
      </c>
    </row>
    <row r="423" spans="1:19" hidden="1">
      <c r="A423" t="inlineStr">
        <is>
          <t>OPVAL-P1A-S0-T-E007</t>
        </is>
      </c>
      <c r="B423" t="inlineStr">
        <is>
          <t>OPVAL-P1A-S0-T</t>
        </is>
      </c>
      <c r="C423" t="inlineStr">
        <is>
          <t>OPVAL</t>
        </is>
      </c>
      <c r="D423" s="56">
        <v>2026</v>
      </c>
      <c r="E423" s="56" t="inlineStr">
        <is>
          <t>P1A</t>
        </is>
      </c>
      <c r="F423" t="inlineStr">
        <is>
          <t>132 Patrick Mill Circle</t>
        </is>
      </c>
      <c r="G423" t="inlineStr">
        <is>
          <t>Table</t>
        </is>
      </c>
      <c r="H423" s="62">
        <v>7</v>
      </c>
      <c r="I423">
        <v>7</v>
      </c>
      <c r="J423" s="65">
        <v>665000</v>
      </c>
      <c r="K423" s="65">
        <v>640000</v>
      </c>
      <c r="L423" s="65">
        <v>650000</v>
      </c>
      <c r="M423" s="56" t="inlineStr">
        <is>
          <t>Yes</t>
        </is>
      </c>
      <c r="N423" t="inlineStr">
        <is>
          <t>Original</t>
        </is>
      </c>
      <c r="O423" t="inlineStr">
        <is>
          <t>QUALIFY</t>
        </is>
      </c>
      <c r="S423" t="inlineStr">
        <is>
          <t>Full ledger row</t>
        </is>
      </c>
    </row>
    <row r="424" spans="1:19" hidden="1">
      <c r="A424" t="inlineStr">
        <is>
          <t>OPVAL-P1A-S0-T-E008</t>
        </is>
      </c>
      <c r="B424" t="inlineStr">
        <is>
          <t>OPVAL-P1A-S0-T</t>
        </is>
      </c>
      <c r="C424" t="inlineStr">
        <is>
          <t>OPVAL</t>
        </is>
      </c>
      <c r="D424" s="56">
        <v>2026</v>
      </c>
      <c r="E424" s="56" t="inlineStr">
        <is>
          <t>P1A</t>
        </is>
      </c>
      <c r="F424" t="inlineStr">
        <is>
          <t>132 Patrick Mill Circle</t>
        </is>
      </c>
      <c r="G424" t="inlineStr">
        <is>
          <t>Table</t>
        </is>
      </c>
      <c r="H424" s="62">
        <v>8</v>
      </c>
      <c r="I424">
        <v>8</v>
      </c>
      <c r="J424" s="65">
        <v>650000</v>
      </c>
      <c r="K424" s="65">
        <v>640000</v>
      </c>
      <c r="L424" s="65">
        <v>650000</v>
      </c>
      <c r="M424" s="56" t="inlineStr">
        <is>
          <t>Yes</t>
        </is>
      </c>
      <c r="N424" t="inlineStr">
        <is>
          <t>Original</t>
        </is>
      </c>
      <c r="O424" t="inlineStr">
        <is>
          <t>QUALIFY</t>
        </is>
      </c>
      <c r="S424" t="inlineStr">
        <is>
          <t>Full ledger row</t>
        </is>
      </c>
    </row>
    <row r="425" spans="1:19" hidden="1">
      <c r="A425" t="inlineStr">
        <is>
          <t>OPVAL-P1A-S0-T-E009</t>
        </is>
      </c>
      <c r="B425" t="inlineStr">
        <is>
          <t>OPVAL-P1A-S0-T</t>
        </is>
      </c>
      <c r="C425" t="inlineStr">
        <is>
          <t>OPVAL</t>
        </is>
      </c>
      <c r="D425" s="56">
        <v>2026</v>
      </c>
      <c r="E425" s="56" t="inlineStr">
        <is>
          <t>P1A</t>
        </is>
      </c>
      <c r="F425" t="inlineStr">
        <is>
          <t>132 Patrick Mill Circle</t>
        </is>
      </c>
      <c r="G425" t="inlineStr">
        <is>
          <t>Table</t>
        </is>
      </c>
      <c r="H425" s="62">
        <v>9</v>
      </c>
      <c r="I425">
        <v>9</v>
      </c>
      <c r="J425" s="65">
        <v>650000</v>
      </c>
      <c r="K425" s="65">
        <v>640000</v>
      </c>
      <c r="L425" s="65">
        <v>650000</v>
      </c>
      <c r="M425" s="56" t="inlineStr">
        <is>
          <t>Yes</t>
        </is>
      </c>
      <c r="N425" t="inlineStr">
        <is>
          <t>Original</t>
        </is>
      </c>
      <c r="O425" t="inlineStr">
        <is>
          <t>QUALIFY</t>
        </is>
      </c>
      <c r="S425" t="inlineStr">
        <is>
          <t>Full ledger row</t>
        </is>
      </c>
    </row>
    <row r="426" spans="1:19" hidden="1">
      <c r="A426" t="inlineStr">
        <is>
          <t>OPVAL-P1A-S0-T-E010</t>
        </is>
      </c>
      <c r="B426" t="inlineStr">
        <is>
          <t>OPVAL-P1A-S0-T</t>
        </is>
      </c>
      <c r="C426" t="inlineStr">
        <is>
          <t>OPVAL</t>
        </is>
      </c>
      <c r="D426" s="56">
        <v>2026</v>
      </c>
      <c r="E426" s="56" t="inlineStr">
        <is>
          <t>P1A</t>
        </is>
      </c>
      <c r="F426" t="inlineStr">
        <is>
          <t>132 Patrick Mill Circle</t>
        </is>
      </c>
      <c r="G426" t="inlineStr">
        <is>
          <t>Table</t>
        </is>
      </c>
      <c r="H426" s="62">
        <v>10</v>
      </c>
      <c r="I426">
        <v>10</v>
      </c>
      <c r="J426" s="65">
        <v>650000</v>
      </c>
      <c r="K426" s="65">
        <v>640000</v>
      </c>
      <c r="L426" s="65">
        <v>650000</v>
      </c>
      <c r="M426" s="56" t="inlineStr">
        <is>
          <t>Yes</t>
        </is>
      </c>
      <c r="N426" t="inlineStr">
        <is>
          <t>Original</t>
        </is>
      </c>
      <c r="O426" t="inlineStr">
        <is>
          <t>QUALIFY</t>
        </is>
      </c>
      <c r="S426" t="inlineStr">
        <is>
          <t>Full ledger row</t>
        </is>
      </c>
    </row>
    <row r="427" spans="1:19" hidden="1">
      <c r="A427" t="inlineStr">
        <is>
          <t>OPVAL-P2A-S0-T-E001</t>
        </is>
      </c>
      <c r="B427" t="inlineStr">
        <is>
          <t>OPVAL-P2A-S0-T</t>
        </is>
      </c>
      <c r="C427" t="inlineStr">
        <is>
          <t>OPVAL</t>
        </is>
      </c>
      <c r="D427" s="56">
        <v>2026</v>
      </c>
      <c r="E427" s="56" t="inlineStr">
        <is>
          <t>P2A</t>
        </is>
      </c>
      <c r="F427" t="inlineStr">
        <is>
          <t>252 Seamist Court</t>
        </is>
      </c>
      <c r="G427" t="inlineStr">
        <is>
          <t>Table</t>
        </is>
      </c>
      <c r="H427" s="62">
        <v>1</v>
      </c>
      <c r="I427">
        <v>1</v>
      </c>
      <c r="J427" s="65">
        <v>675000</v>
      </c>
      <c r="K427" s="65">
        <v>670000</v>
      </c>
      <c r="L427" s="65">
        <v>670000</v>
      </c>
      <c r="M427" s="56" t="inlineStr">
        <is>
          <t>Yes</t>
        </is>
      </c>
      <c r="N427" t="inlineStr">
        <is>
          <t>Original</t>
        </is>
      </c>
      <c r="O427" t="inlineStr">
        <is>
          <t>QUALIFY</t>
        </is>
      </c>
      <c r="R427" t="inlineStr">
        <is>
          <t>PASS — chronology wording/tension involving reported 9 DOM versus calendar dates; controlling 9-DOM field acknowledged or not materially displaced; no demonstrated contamination of I/F.</t>
        </is>
      </c>
      <c r="S427" t="inlineStr">
        <is>
          <t>Full ledger row</t>
        </is>
      </c>
    </row>
    <row r="428" spans="1:19" hidden="1">
      <c r="A428" t="inlineStr">
        <is>
          <t>OPVAL-P2A-S0-T-E002</t>
        </is>
      </c>
      <c r="B428" t="inlineStr">
        <is>
          <t>OPVAL-P2A-S0-T</t>
        </is>
      </c>
      <c r="C428" t="inlineStr">
        <is>
          <t>OPVAL</t>
        </is>
      </c>
      <c r="D428" s="56">
        <v>2026</v>
      </c>
      <c r="E428" s="56" t="inlineStr">
        <is>
          <t>P2A</t>
        </is>
      </c>
      <c r="F428" t="inlineStr">
        <is>
          <t>252 Seamist Court</t>
        </is>
      </c>
      <c r="G428" t="inlineStr">
        <is>
          <t>Table</t>
        </is>
      </c>
      <c r="H428" s="62">
        <v>2</v>
      </c>
      <c r="I428">
        <v>2</v>
      </c>
      <c r="J428" s="65">
        <v>665000</v>
      </c>
      <c r="K428" s="65">
        <v>670000</v>
      </c>
      <c r="L428" s="65">
        <v>670000</v>
      </c>
      <c r="M428" s="56" t="inlineStr">
        <is>
          <t>Yes</t>
        </is>
      </c>
      <c r="N428" t="inlineStr">
        <is>
          <t>Original</t>
        </is>
      </c>
      <c r="O428" t="inlineStr">
        <is>
          <t>QUALIFY</t>
        </is>
      </c>
      <c r="S428" t="inlineStr">
        <is>
          <t>Full ledger row</t>
        </is>
      </c>
    </row>
    <row r="429" spans="1:19" hidden="1">
      <c r="A429" t="inlineStr">
        <is>
          <t>OPVAL-P2A-S0-T-E003</t>
        </is>
      </c>
      <c r="B429" t="inlineStr">
        <is>
          <t>OPVAL-P2A-S0-T</t>
        </is>
      </c>
      <c r="C429" t="inlineStr">
        <is>
          <t>OPVAL</t>
        </is>
      </c>
      <c r="D429" s="56">
        <v>2026</v>
      </c>
      <c r="E429" s="56" t="inlineStr">
        <is>
          <t>P2A</t>
        </is>
      </c>
      <c r="F429" t="inlineStr">
        <is>
          <t>252 Seamist Court</t>
        </is>
      </c>
      <c r="G429" t="inlineStr">
        <is>
          <t>Table</t>
        </is>
      </c>
      <c r="H429" s="62">
        <v>3</v>
      </c>
      <c r="I429">
        <v>3</v>
      </c>
      <c r="J429" s="65">
        <v>680000</v>
      </c>
      <c r="K429" s="65">
        <v>675000</v>
      </c>
      <c r="L429" s="65">
        <v>670000</v>
      </c>
      <c r="M429" s="56" t="inlineStr">
        <is>
          <t>Yes</t>
        </is>
      </c>
      <c r="N429" t="inlineStr">
        <is>
          <t>Original</t>
        </is>
      </c>
      <c r="O429" t="inlineStr">
        <is>
          <t>QUALIFY</t>
        </is>
      </c>
      <c r="S429" t="inlineStr">
        <is>
          <t>Full ledger row</t>
        </is>
      </c>
    </row>
    <row r="430" spans="1:19" hidden="1">
      <c r="A430" t="inlineStr">
        <is>
          <t>OPVAL-P2A-S0-T-E004</t>
        </is>
      </c>
      <c r="B430" t="inlineStr">
        <is>
          <t>OPVAL-P2A-S0-T</t>
        </is>
      </c>
      <c r="C430" t="inlineStr">
        <is>
          <t>OPVAL</t>
        </is>
      </c>
      <c r="D430" s="56">
        <v>2026</v>
      </c>
      <c r="E430" s="56" t="inlineStr">
        <is>
          <t>P2A</t>
        </is>
      </c>
      <c r="F430" t="inlineStr">
        <is>
          <t>252 Seamist Court</t>
        </is>
      </c>
      <c r="G430" t="inlineStr">
        <is>
          <t>Table</t>
        </is>
      </c>
      <c r="H430" s="62">
        <v>4</v>
      </c>
      <c r="I430">
        <v>4</v>
      </c>
      <c r="J430" s="65">
        <v>655000</v>
      </c>
      <c r="K430" s="65">
        <v>665000</v>
      </c>
      <c r="L430" s="65">
        <v>670000</v>
      </c>
      <c r="M430" s="56" t="inlineStr">
        <is>
          <t>Yes</t>
        </is>
      </c>
      <c r="N430" t="inlineStr">
        <is>
          <t>Original</t>
        </is>
      </c>
      <c r="O430" t="inlineStr">
        <is>
          <t>QUALIFY</t>
        </is>
      </c>
      <c r="S430" t="inlineStr">
        <is>
          <t>Full ledger row</t>
        </is>
      </c>
    </row>
    <row r="431" spans="1:19" hidden="1">
      <c r="A431" t="inlineStr">
        <is>
          <t>OPVAL-P2A-S0-T-E005</t>
        </is>
      </c>
      <c r="B431" t="inlineStr">
        <is>
          <t>OPVAL-P2A-S0-T</t>
        </is>
      </c>
      <c r="C431" t="inlineStr">
        <is>
          <t>OPVAL</t>
        </is>
      </c>
      <c r="D431" s="56">
        <v>2026</v>
      </c>
      <c r="E431" s="56" t="inlineStr">
        <is>
          <t>P2A</t>
        </is>
      </c>
      <c r="F431" t="inlineStr">
        <is>
          <t>252 Seamist Court</t>
        </is>
      </c>
      <c r="G431" t="inlineStr">
        <is>
          <t>Table</t>
        </is>
      </c>
      <c r="H431" s="62">
        <v>5</v>
      </c>
      <c r="I431">
        <v>5</v>
      </c>
      <c r="J431" s="65">
        <v>670000</v>
      </c>
      <c r="K431" s="65">
        <v>675000</v>
      </c>
      <c r="L431" s="65">
        <v>670000</v>
      </c>
      <c r="M431" s="56" t="inlineStr">
        <is>
          <t>Yes</t>
        </is>
      </c>
      <c r="N431" t="inlineStr">
        <is>
          <t>Original</t>
        </is>
      </c>
      <c r="O431" t="inlineStr">
        <is>
          <t>QUALIFY</t>
        </is>
      </c>
      <c r="S431" t="inlineStr">
        <is>
          <t>Full ledger row</t>
        </is>
      </c>
    </row>
    <row r="432" spans="1:19" hidden="1">
      <c r="A432" t="inlineStr">
        <is>
          <t>OPVAL-P2A-S0-T-E006</t>
        </is>
      </c>
      <c r="B432" t="inlineStr">
        <is>
          <t>OPVAL-P2A-S0-T</t>
        </is>
      </c>
      <c r="C432" t="inlineStr">
        <is>
          <t>OPVAL</t>
        </is>
      </c>
      <c r="D432" s="56">
        <v>2026</v>
      </c>
      <c r="E432" s="56" t="inlineStr">
        <is>
          <t>P2A</t>
        </is>
      </c>
      <c r="F432" t="inlineStr">
        <is>
          <t>252 Seamist Court</t>
        </is>
      </c>
      <c r="G432" t="inlineStr">
        <is>
          <t>Table</t>
        </is>
      </c>
      <c r="H432" s="62">
        <v>6</v>
      </c>
      <c r="I432">
        <v>6</v>
      </c>
      <c r="J432" s="65">
        <v>690000</v>
      </c>
      <c r="K432" s="65">
        <v>680000</v>
      </c>
      <c r="L432" s="65">
        <v>670000</v>
      </c>
      <c r="M432" s="56" t="inlineStr">
        <is>
          <t>Yes</t>
        </is>
      </c>
      <c r="N432" t="inlineStr">
        <is>
          <t>Original</t>
        </is>
      </c>
      <c r="O432" t="inlineStr">
        <is>
          <t>QUALIFY</t>
        </is>
      </c>
      <c r="S432" t="inlineStr">
        <is>
          <t>Full ledger row</t>
        </is>
      </c>
    </row>
    <row r="433" spans="1:19" hidden="1">
      <c r="A433" t="inlineStr">
        <is>
          <t>OPVAL-P2A-S0-T-E007</t>
        </is>
      </c>
      <c r="B433" t="inlineStr">
        <is>
          <t>OPVAL-P2A-S0-T</t>
        </is>
      </c>
      <c r="C433" t="inlineStr">
        <is>
          <t>OPVAL</t>
        </is>
      </c>
      <c r="D433" s="56">
        <v>2026</v>
      </c>
      <c r="E433" s="56" t="inlineStr">
        <is>
          <t>P2A</t>
        </is>
      </c>
      <c r="F433" t="inlineStr">
        <is>
          <t>252 Seamist Court</t>
        </is>
      </c>
      <c r="G433" t="inlineStr">
        <is>
          <t>Table</t>
        </is>
      </c>
      <c r="H433" s="62">
        <v>7</v>
      </c>
      <c r="I433">
        <v>7</v>
      </c>
      <c r="J433" s="65">
        <v>690000</v>
      </c>
      <c r="K433" s="65">
        <v>680000</v>
      </c>
      <c r="L433" s="65">
        <v>670000</v>
      </c>
      <c r="M433" s="56" t="inlineStr">
        <is>
          <t>Yes</t>
        </is>
      </c>
      <c r="N433" t="inlineStr">
        <is>
          <t>Original</t>
        </is>
      </c>
      <c r="O433" t="inlineStr">
        <is>
          <t>QUALIFY</t>
        </is>
      </c>
      <c r="S433" t="inlineStr">
        <is>
          <t>Full ledger row</t>
        </is>
      </c>
    </row>
    <row r="434" spans="1:19" hidden="1">
      <c r="A434" t="inlineStr">
        <is>
          <t>OPVAL-P2A-S0-T-E008</t>
        </is>
      </c>
      <c r="B434" t="inlineStr">
        <is>
          <t>OPVAL-P2A-S0-T</t>
        </is>
      </c>
      <c r="C434" t="inlineStr">
        <is>
          <t>OPVAL</t>
        </is>
      </c>
      <c r="D434" s="56">
        <v>2026</v>
      </c>
      <c r="E434" s="56" t="inlineStr">
        <is>
          <t>P2A</t>
        </is>
      </c>
      <c r="F434" t="inlineStr">
        <is>
          <t>252 Seamist Court</t>
        </is>
      </c>
      <c r="G434" t="inlineStr">
        <is>
          <t>Table</t>
        </is>
      </c>
      <c r="H434" s="62">
        <v>8</v>
      </c>
      <c r="I434">
        <v>8</v>
      </c>
      <c r="J434" s="65">
        <v>670000</v>
      </c>
      <c r="K434" s="65">
        <v>675000</v>
      </c>
      <c r="L434" s="65">
        <v>670000</v>
      </c>
      <c r="M434" s="56" t="inlineStr">
        <is>
          <t>Yes</t>
        </is>
      </c>
      <c r="N434" t="inlineStr">
        <is>
          <t>Original</t>
        </is>
      </c>
      <c r="O434" t="inlineStr">
        <is>
          <t>QUALIFY</t>
        </is>
      </c>
      <c r="R434" t="inlineStr">
        <is>
          <t>PASS — chronology wording/tension involving reported 9 DOM versus calendar dates; controlling 9-DOM field acknowledged or not materially displaced; no demonstrated contamination of I/F.</t>
        </is>
      </c>
      <c r="S434" t="inlineStr">
        <is>
          <t>Full ledger row</t>
        </is>
      </c>
    </row>
    <row r="435" spans="1:19" hidden="1">
      <c r="A435" t="inlineStr">
        <is>
          <t>OPVAL-P2A-S0-T-E009</t>
        </is>
      </c>
      <c r="B435" t="inlineStr">
        <is>
          <t>OPVAL-P2A-S0-T</t>
        </is>
      </c>
      <c r="C435" t="inlineStr">
        <is>
          <t>OPVAL</t>
        </is>
      </c>
      <c r="D435" s="56">
        <v>2026</v>
      </c>
      <c r="E435" s="56" t="inlineStr">
        <is>
          <t>P2A</t>
        </is>
      </c>
      <c r="F435" t="inlineStr">
        <is>
          <t>252 Seamist Court</t>
        </is>
      </c>
      <c r="G435" t="inlineStr">
        <is>
          <t>Table</t>
        </is>
      </c>
      <c r="H435" s="62">
        <v>9</v>
      </c>
      <c r="I435">
        <v>9</v>
      </c>
      <c r="J435" s="65">
        <v>675000</v>
      </c>
      <c r="K435" s="65">
        <v>670000</v>
      </c>
      <c r="L435" s="65">
        <v>670000</v>
      </c>
      <c r="M435" s="56" t="inlineStr">
        <is>
          <t>Yes</t>
        </is>
      </c>
      <c r="N435" t="inlineStr">
        <is>
          <t>Original</t>
        </is>
      </c>
      <c r="O435" t="inlineStr">
        <is>
          <t>QUALIFY</t>
        </is>
      </c>
      <c r="S435" t="inlineStr">
        <is>
          <t>Full ledger row</t>
        </is>
      </c>
    </row>
    <row r="436" spans="1:19" hidden="1">
      <c r="A436" t="inlineStr">
        <is>
          <t>OPVAL-P2A-S0-T-E010</t>
        </is>
      </c>
      <c r="B436" t="inlineStr">
        <is>
          <t>OPVAL-P2A-S0-T</t>
        </is>
      </c>
      <c r="C436" t="inlineStr">
        <is>
          <t>OPVAL</t>
        </is>
      </c>
      <c r="D436" s="56">
        <v>2026</v>
      </c>
      <c r="E436" s="56" t="inlineStr">
        <is>
          <t>P2A</t>
        </is>
      </c>
      <c r="F436" t="inlineStr">
        <is>
          <t>252 Seamist Court</t>
        </is>
      </c>
      <c r="G436" t="inlineStr">
        <is>
          <t>Table</t>
        </is>
      </c>
      <c r="H436" s="62">
        <v>10</v>
      </c>
      <c r="I436">
        <v>10</v>
      </c>
      <c r="J436" s="65">
        <v>675000</v>
      </c>
      <c r="K436" s="65">
        <v>670000</v>
      </c>
      <c r="L436" s="65">
        <v>670000</v>
      </c>
      <c r="M436" s="56" t="inlineStr">
        <is>
          <t>Yes</t>
        </is>
      </c>
      <c r="N436" t="inlineStr">
        <is>
          <t>Original</t>
        </is>
      </c>
      <c r="O436" t="inlineStr">
        <is>
          <t>QUALIFY</t>
        </is>
      </c>
      <c r="S436" t="inlineStr">
        <is>
          <t>Full ledger row</t>
        </is>
      </c>
    </row>
    <row r="437" spans="1:19" hidden="1">
      <c r="A437" t="inlineStr">
        <is>
          <t>OPVAL-P3A-S0-T-E001</t>
        </is>
      </c>
      <c r="B437" t="inlineStr">
        <is>
          <t>OPVAL-P3A-S0-T</t>
        </is>
      </c>
      <c r="C437" t="inlineStr">
        <is>
          <t>OPVAL</t>
        </is>
      </c>
      <c r="D437" s="56">
        <v>2026</v>
      </c>
      <c r="E437" s="56" t="inlineStr">
        <is>
          <t>P3A</t>
        </is>
      </c>
      <c r="F437" t="inlineStr">
        <is>
          <t>213 Seamist Court</t>
        </is>
      </c>
      <c r="G437" t="inlineStr">
        <is>
          <t>Table</t>
        </is>
      </c>
      <c r="H437" s="62">
        <v>1</v>
      </c>
      <c r="I437">
        <v>1</v>
      </c>
      <c r="J437" s="65">
        <v>850000</v>
      </c>
      <c r="K437" s="65">
        <v>785000</v>
      </c>
      <c r="L437" s="65">
        <v>790000</v>
      </c>
      <c r="M437" s="56" t="inlineStr">
        <is>
          <t>Yes</t>
        </is>
      </c>
      <c r="N437" t="inlineStr">
        <is>
          <t>Original</t>
        </is>
      </c>
      <c r="O437" t="inlineStr">
        <is>
          <t>QUALIFY</t>
        </is>
      </c>
      <c r="S437" t="inlineStr">
        <is>
          <t>Full ledger row</t>
        </is>
      </c>
    </row>
    <row r="438" spans="1:19" hidden="1">
      <c r="A438" t="inlineStr">
        <is>
          <t>OPVAL-P3A-S0-T-E002</t>
        </is>
      </c>
      <c r="B438" t="inlineStr">
        <is>
          <t>OPVAL-P3A-S0-T</t>
        </is>
      </c>
      <c r="C438" t="inlineStr">
        <is>
          <t>OPVAL</t>
        </is>
      </c>
      <c r="D438" s="56">
        <v>2026</v>
      </c>
      <c r="E438" s="56" t="inlineStr">
        <is>
          <t>P3A</t>
        </is>
      </c>
      <c r="F438" t="inlineStr">
        <is>
          <t>213 Seamist Court</t>
        </is>
      </c>
      <c r="G438" t="inlineStr">
        <is>
          <t>Table</t>
        </is>
      </c>
      <c r="H438" s="62">
        <v>2</v>
      </c>
      <c r="I438">
        <v>2</v>
      </c>
      <c r="J438" s="65">
        <v>865000</v>
      </c>
      <c r="K438" s="65">
        <v>780000</v>
      </c>
      <c r="L438" s="65">
        <v>790000</v>
      </c>
      <c r="M438" s="56" t="inlineStr">
        <is>
          <t>Yes</t>
        </is>
      </c>
      <c r="N438" t="inlineStr">
        <is>
          <t>Original</t>
        </is>
      </c>
      <c r="O438" t="inlineStr">
        <is>
          <t>QUALIFY</t>
        </is>
      </c>
      <c r="S438" t="inlineStr">
        <is>
          <t>Full ledger row</t>
        </is>
      </c>
    </row>
    <row r="439" spans="1:19" hidden="1">
      <c r="A439" t="inlineStr">
        <is>
          <t>OPVAL-P3A-S0-T-E003</t>
        </is>
      </c>
      <c r="B439" t="inlineStr">
        <is>
          <t>OPVAL-P3A-S0-T</t>
        </is>
      </c>
      <c r="C439" t="inlineStr">
        <is>
          <t>OPVAL</t>
        </is>
      </c>
      <c r="D439" s="56">
        <v>2026</v>
      </c>
      <c r="E439" s="56" t="inlineStr">
        <is>
          <t>P3A</t>
        </is>
      </c>
      <c r="F439" t="inlineStr">
        <is>
          <t>213 Seamist Court</t>
        </is>
      </c>
      <c r="G439" t="inlineStr">
        <is>
          <t>Table</t>
        </is>
      </c>
      <c r="H439" s="62">
        <v>3</v>
      </c>
      <c r="I439">
        <v>3</v>
      </c>
      <c r="J439" s="65">
        <v>825000</v>
      </c>
      <c r="K439" s="65">
        <v>775000</v>
      </c>
      <c r="L439" s="65">
        <v>790000</v>
      </c>
      <c r="M439" s="56" t="inlineStr">
        <is>
          <t>Yes</t>
        </is>
      </c>
      <c r="N439" t="inlineStr">
        <is>
          <t>Original</t>
        </is>
      </c>
      <c r="O439" t="inlineStr">
        <is>
          <t>QUALIFY</t>
        </is>
      </c>
      <c r="S439" t="inlineStr">
        <is>
          <t>Full ledger row</t>
        </is>
      </c>
    </row>
    <row r="440" spans="1:19" hidden="1">
      <c r="A440" t="inlineStr">
        <is>
          <t>OPVAL-P3A-S0-T-E004</t>
        </is>
      </c>
      <c r="B440" t="inlineStr">
        <is>
          <t>OPVAL-P3A-S0-T</t>
        </is>
      </c>
      <c r="C440" t="inlineStr">
        <is>
          <t>OPVAL</t>
        </is>
      </c>
      <c r="D440" s="56">
        <v>2026</v>
      </c>
      <c r="E440" s="56" t="inlineStr">
        <is>
          <t>P3A</t>
        </is>
      </c>
      <c r="F440" t="inlineStr">
        <is>
          <t>213 Seamist Court</t>
        </is>
      </c>
      <c r="G440" t="inlineStr">
        <is>
          <t>Table</t>
        </is>
      </c>
      <c r="H440" s="62">
        <v>4</v>
      </c>
      <c r="I440">
        <v>4</v>
      </c>
      <c r="J440" s="65">
        <v>835000</v>
      </c>
      <c r="K440" s="65">
        <v>785000</v>
      </c>
      <c r="L440" s="65">
        <v>790000</v>
      </c>
      <c r="M440" s="56" t="inlineStr">
        <is>
          <t>Yes</t>
        </is>
      </c>
      <c r="N440" t="inlineStr">
        <is>
          <t>Original</t>
        </is>
      </c>
      <c r="O440" t="inlineStr">
        <is>
          <t>QUALIFY</t>
        </is>
      </c>
      <c r="S440" t="inlineStr">
        <is>
          <t>Full ledger row</t>
        </is>
      </c>
    </row>
    <row r="441" spans="1:19" s="59" customFormat="1" ht="28.5">
      <c r="A441" s="59" t="inlineStr">
        <is>
          <t>OPVAL-P3A-S0-T-E005</t>
        </is>
      </c>
      <c r="B441" s="59" t="inlineStr">
        <is>
          <t>OPVAL-P3A-S0-T</t>
        </is>
      </c>
      <c r="C441" s="59" t="inlineStr">
        <is>
          <t>OPVAL</t>
        </is>
      </c>
      <c r="D441" s="63">
        <v>2026</v>
      </c>
      <c r="E441" s="63" t="inlineStr">
        <is>
          <t>P3A</t>
        </is>
      </c>
      <c r="F441" s="59" t="inlineStr">
        <is>
          <t>213 Seamist Court</t>
        </is>
      </c>
      <c r="G441" s="59" t="inlineStr">
        <is>
          <t>Table</t>
        </is>
      </c>
      <c r="H441" s="62"/>
      <c r="I441" s="59">
        <v>5</v>
      </c>
      <c r="J441" s="66">
        <v>820000</v>
      </c>
      <c r="K441" s="66">
        <v>775000</v>
      </c>
      <c r="L441" s="66">
        <v>790000</v>
      </c>
      <c r="M441" s="63" t="inlineStr">
        <is>
          <t>No</t>
        </is>
      </c>
      <c r="N441" s="59" t="inlineStr">
        <is>
          <t>Original</t>
        </is>
      </c>
      <c r="O441" s="59" t="inlineStr">
        <is>
          <t>EXCLUDE</t>
        </is>
      </c>
      <c r="Q441" s="59">
        <v>11</v>
      </c>
      <c r="R441" s="59" t="inlineStr">
        <is>
          <t>EXCLUDE — independently established non-temporary-chat execution; substantive review found no additional reconstruction defect.</t>
        </is>
      </c>
      <c r="S441" s="59" t="inlineStr">
        <is>
          <t>Full ledger row</t>
        </is>
      </c>
    </row>
    <row r="442" spans="1:19" hidden="1">
      <c r="A442" t="inlineStr">
        <is>
          <t>OPVAL-P3A-S0-T-E006</t>
        </is>
      </c>
      <c r="B442" t="inlineStr">
        <is>
          <t>OPVAL-P3A-S0-T</t>
        </is>
      </c>
      <c r="C442" t="inlineStr">
        <is>
          <t>OPVAL</t>
        </is>
      </c>
      <c r="D442" s="56">
        <v>2026</v>
      </c>
      <c r="E442" s="56" t="inlineStr">
        <is>
          <t>P3A</t>
        </is>
      </c>
      <c r="F442" t="inlineStr">
        <is>
          <t>213 Seamist Court</t>
        </is>
      </c>
      <c r="G442" t="inlineStr">
        <is>
          <t>Table</t>
        </is>
      </c>
      <c r="H442" s="62">
        <v>6</v>
      </c>
      <c r="I442">
        <v>6</v>
      </c>
      <c r="J442" s="65">
        <v>850000</v>
      </c>
      <c r="K442" s="65">
        <v>780000</v>
      </c>
      <c r="L442" s="65">
        <v>790000</v>
      </c>
      <c r="M442" s="56" t="inlineStr">
        <is>
          <t>Yes</t>
        </is>
      </c>
      <c r="N442" t="inlineStr">
        <is>
          <t>Original</t>
        </is>
      </c>
      <c r="O442" t="inlineStr">
        <is>
          <t>QUALIFY</t>
        </is>
      </c>
      <c r="S442" t="inlineStr">
        <is>
          <t>Full ledger row</t>
        </is>
      </c>
    </row>
    <row r="443" spans="1:19" hidden="1">
      <c r="A443" t="inlineStr">
        <is>
          <t>OPVAL-P3A-S0-T-E007</t>
        </is>
      </c>
      <c r="B443" t="inlineStr">
        <is>
          <t>OPVAL-P3A-S0-T</t>
        </is>
      </c>
      <c r="C443" t="inlineStr">
        <is>
          <t>OPVAL</t>
        </is>
      </c>
      <c r="D443" s="56">
        <v>2026</v>
      </c>
      <c r="E443" s="56" t="inlineStr">
        <is>
          <t>P3A</t>
        </is>
      </c>
      <c r="F443" t="inlineStr">
        <is>
          <t>213 Seamist Court</t>
        </is>
      </c>
      <c r="G443" t="inlineStr">
        <is>
          <t>Table</t>
        </is>
      </c>
      <c r="H443" s="62">
        <v>7</v>
      </c>
      <c r="I443">
        <v>7</v>
      </c>
      <c r="J443" s="65">
        <v>845000</v>
      </c>
      <c r="K443" s="65">
        <v>790000</v>
      </c>
      <c r="L443" s="65">
        <v>790000</v>
      </c>
      <c r="M443" s="56" t="inlineStr">
        <is>
          <t>Yes</t>
        </is>
      </c>
      <c r="N443" t="inlineStr">
        <is>
          <t>Original</t>
        </is>
      </c>
      <c r="O443" t="inlineStr">
        <is>
          <t>QUALIFY</t>
        </is>
      </c>
      <c r="S443" t="inlineStr">
        <is>
          <t>Full ledger row</t>
        </is>
      </c>
    </row>
    <row r="444" spans="1:19" hidden="1">
      <c r="A444" t="inlineStr">
        <is>
          <t>OPVAL-P3A-S0-T-E008</t>
        </is>
      </c>
      <c r="B444" t="inlineStr">
        <is>
          <t>OPVAL-P3A-S0-T</t>
        </is>
      </c>
      <c r="C444" t="inlineStr">
        <is>
          <t>OPVAL</t>
        </is>
      </c>
      <c r="D444" s="56">
        <v>2026</v>
      </c>
      <c r="E444" s="56" t="inlineStr">
        <is>
          <t>P3A</t>
        </is>
      </c>
      <c r="F444" t="inlineStr">
        <is>
          <t>213 Seamist Court</t>
        </is>
      </c>
      <c r="G444" t="inlineStr">
        <is>
          <t>Table</t>
        </is>
      </c>
      <c r="H444" s="62">
        <v>8</v>
      </c>
      <c r="I444">
        <v>8</v>
      </c>
      <c r="J444" s="65">
        <v>790000</v>
      </c>
      <c r="K444" s="65">
        <v>775000</v>
      </c>
      <c r="L444" s="65">
        <v>790000</v>
      </c>
      <c r="M444" s="56" t="inlineStr">
        <is>
          <t>Yes</t>
        </is>
      </c>
      <c r="N444" t="inlineStr">
        <is>
          <t>Original</t>
        </is>
      </c>
      <c r="O444" t="inlineStr">
        <is>
          <t>QUALIFY</t>
        </is>
      </c>
      <c r="S444" t="inlineStr">
        <is>
          <t>Full ledger row</t>
        </is>
      </c>
    </row>
    <row r="445" spans="1:19" hidden="1">
      <c r="A445" t="inlineStr">
        <is>
          <t>OPVAL-P3A-S0-T-E009</t>
        </is>
      </c>
      <c r="B445" t="inlineStr">
        <is>
          <t>OPVAL-P3A-S0-T</t>
        </is>
      </c>
      <c r="C445" t="inlineStr">
        <is>
          <t>OPVAL</t>
        </is>
      </c>
      <c r="D445" s="56">
        <v>2026</v>
      </c>
      <c r="E445" s="56" t="inlineStr">
        <is>
          <t>P3A</t>
        </is>
      </c>
      <c r="F445" t="inlineStr">
        <is>
          <t>213 Seamist Court</t>
        </is>
      </c>
      <c r="G445" t="inlineStr">
        <is>
          <t>Table</t>
        </is>
      </c>
      <c r="H445" s="62">
        <v>9</v>
      </c>
      <c r="I445">
        <v>9</v>
      </c>
      <c r="J445" s="65">
        <v>835000</v>
      </c>
      <c r="K445" s="65">
        <v>780000</v>
      </c>
      <c r="L445" s="65">
        <v>790000</v>
      </c>
      <c r="M445" s="56" t="inlineStr">
        <is>
          <t>Yes</t>
        </is>
      </c>
      <c r="N445" t="inlineStr">
        <is>
          <t>Original</t>
        </is>
      </c>
      <c r="O445" t="inlineStr">
        <is>
          <t>QUALIFY</t>
        </is>
      </c>
      <c r="S445" t="inlineStr">
        <is>
          <t>Full ledger row</t>
        </is>
      </c>
    </row>
    <row r="446" spans="1:19" hidden="1">
      <c r="A446" t="inlineStr">
        <is>
          <t>OPVAL-P3A-S0-T-E010</t>
        </is>
      </c>
      <c r="B446" t="inlineStr">
        <is>
          <t>OPVAL-P3A-S0-T</t>
        </is>
      </c>
      <c r="C446" t="inlineStr">
        <is>
          <t>OPVAL</t>
        </is>
      </c>
      <c r="D446" s="56">
        <v>2026</v>
      </c>
      <c r="E446" s="56" t="inlineStr">
        <is>
          <t>P3A</t>
        </is>
      </c>
      <c r="F446" t="inlineStr">
        <is>
          <t>213 Seamist Court</t>
        </is>
      </c>
      <c r="G446" t="inlineStr">
        <is>
          <t>Table</t>
        </is>
      </c>
      <c r="H446" s="62">
        <v>10</v>
      </c>
      <c r="I446">
        <v>10</v>
      </c>
      <c r="J446" s="65">
        <v>800000</v>
      </c>
      <c r="K446" s="65">
        <v>775000</v>
      </c>
      <c r="L446" s="65">
        <v>790000</v>
      </c>
      <c r="M446" s="56" t="inlineStr">
        <is>
          <t>Yes</t>
        </is>
      </c>
      <c r="N446" t="inlineStr">
        <is>
          <t>Original</t>
        </is>
      </c>
      <c r="O446" t="inlineStr">
        <is>
          <t>QUALIFY</t>
        </is>
      </c>
      <c r="S446" t="inlineStr">
        <is>
          <t>Full ledger row</t>
        </is>
      </c>
    </row>
    <row r="447" spans="1:19" hidden="1">
      <c r="A447" t="inlineStr">
        <is>
          <t>OPVAL-P3A-S0-T-E011</t>
        </is>
      </c>
      <c r="B447" t="inlineStr">
        <is>
          <t>OPVAL-P3A-S0-T</t>
        </is>
      </c>
      <c r="C447" t="inlineStr">
        <is>
          <t>OPVAL</t>
        </is>
      </c>
      <c r="D447" s="56">
        <v>2026</v>
      </c>
      <c r="E447" s="56" t="inlineStr">
        <is>
          <t>P3A</t>
        </is>
      </c>
      <c r="F447" t="inlineStr">
        <is>
          <t>213 Seamist Court</t>
        </is>
      </c>
      <c r="G447" t="inlineStr">
        <is>
          <t>Table</t>
        </is>
      </c>
      <c r="H447" s="62">
        <v>5</v>
      </c>
      <c r="I447">
        <v>11</v>
      </c>
      <c r="J447" s="65">
        <v>835000</v>
      </c>
      <c r="K447" s="65">
        <v>785000</v>
      </c>
      <c r="L447" s="65">
        <v>790000</v>
      </c>
      <c r="M447" s="56" t="inlineStr">
        <is>
          <t>Yes</t>
        </is>
      </c>
      <c r="N447" t="inlineStr">
        <is>
          <t>Replacement</t>
        </is>
      </c>
      <c r="O447" t="inlineStr">
        <is>
          <t>QUALIFY</t>
        </is>
      </c>
      <c r="P447">
        <v>5</v>
      </c>
      <c r="S447" t="inlineStr">
        <is>
          <t>Full ledger row</t>
        </is>
      </c>
    </row>
    <row r="448" spans="1:19" hidden="1">
      <c r="A448" t="inlineStr">
        <is>
          <t>OPVAL-P4A-S0-T-E001</t>
        </is>
      </c>
      <c r="B448" t="inlineStr">
        <is>
          <t>OPVAL-P4A-S0-T</t>
        </is>
      </c>
      <c r="C448" t="inlineStr">
        <is>
          <t>OPVAL</t>
        </is>
      </c>
      <c r="D448" s="56">
        <v>2026</v>
      </c>
      <c r="E448" s="56" t="inlineStr">
        <is>
          <t>P4A</t>
        </is>
      </c>
      <c r="F448" t="inlineStr">
        <is>
          <t>144 Crosscove Circle</t>
        </is>
      </c>
      <c r="G448" t="inlineStr">
        <is>
          <t>Table</t>
        </is>
      </c>
      <c r="H448" s="62">
        <v>1</v>
      </c>
      <c r="I448">
        <v>1</v>
      </c>
      <c r="J448" s="65">
        <v>750000</v>
      </c>
      <c r="K448" s="65">
        <v>745000</v>
      </c>
      <c r="L448" s="65">
        <v>749900</v>
      </c>
      <c r="M448" s="56" t="inlineStr">
        <is>
          <t>Yes</t>
        </is>
      </c>
      <c r="N448" t="inlineStr">
        <is>
          <t>Original</t>
        </is>
      </c>
      <c r="O448" t="inlineStr">
        <is>
          <t>QUALIFY</t>
        </is>
      </c>
      <c r="S448" t="inlineStr">
        <is>
          <t>Full ledger row</t>
        </is>
      </c>
    </row>
    <row r="449" spans="1:19" hidden="1">
      <c r="A449" t="inlineStr">
        <is>
          <t>OPVAL-P4A-S0-T-E002</t>
        </is>
      </c>
      <c r="B449" t="inlineStr">
        <is>
          <t>OPVAL-P4A-S0-T</t>
        </is>
      </c>
      <c r="C449" t="inlineStr">
        <is>
          <t>OPVAL</t>
        </is>
      </c>
      <c r="D449" s="56">
        <v>2026</v>
      </c>
      <c r="E449" s="56" t="inlineStr">
        <is>
          <t>P4A</t>
        </is>
      </c>
      <c r="F449" t="inlineStr">
        <is>
          <t>144 Crosscove Circle</t>
        </is>
      </c>
      <c r="G449" t="inlineStr">
        <is>
          <t>Table</t>
        </is>
      </c>
      <c r="H449" s="62">
        <v>2</v>
      </c>
      <c r="I449">
        <v>2</v>
      </c>
      <c r="J449" s="65">
        <v>735000</v>
      </c>
      <c r="K449" s="65">
        <v>745000</v>
      </c>
      <c r="L449" s="65">
        <v>749900</v>
      </c>
      <c r="M449" s="56" t="inlineStr">
        <is>
          <t>Yes</t>
        </is>
      </c>
      <c r="N449" t="inlineStr">
        <is>
          <t>Original</t>
        </is>
      </c>
      <c r="O449" t="inlineStr">
        <is>
          <t>QUALIFY</t>
        </is>
      </c>
      <c r="S449" t="inlineStr">
        <is>
          <t>Full ledger row</t>
        </is>
      </c>
    </row>
    <row r="450" spans="1:19" hidden="1">
      <c r="A450" t="inlineStr">
        <is>
          <t>OPVAL-P4A-S0-T-E003</t>
        </is>
      </c>
      <c r="B450" t="inlineStr">
        <is>
          <t>OPVAL-P4A-S0-T</t>
        </is>
      </c>
      <c r="C450" t="inlineStr">
        <is>
          <t>OPVAL</t>
        </is>
      </c>
      <c r="D450" s="56">
        <v>2026</v>
      </c>
      <c r="E450" s="56" t="inlineStr">
        <is>
          <t>P4A</t>
        </is>
      </c>
      <c r="F450" t="inlineStr">
        <is>
          <t>144 Crosscove Circle</t>
        </is>
      </c>
      <c r="G450" t="inlineStr">
        <is>
          <t>Table</t>
        </is>
      </c>
      <c r="H450" s="62">
        <v>3</v>
      </c>
      <c r="I450">
        <v>3</v>
      </c>
      <c r="J450" s="65">
        <v>740000</v>
      </c>
      <c r="K450" s="65">
        <v>745000</v>
      </c>
      <c r="L450" s="65">
        <v>749900</v>
      </c>
      <c r="M450" s="56" t="inlineStr">
        <is>
          <t>Yes</t>
        </is>
      </c>
      <c r="N450" t="inlineStr">
        <is>
          <t>Original</t>
        </is>
      </c>
      <c r="O450" t="inlineStr">
        <is>
          <t>QUALIFY</t>
        </is>
      </c>
      <c r="S450" t="inlineStr">
        <is>
          <t>Full ledger row</t>
        </is>
      </c>
    </row>
    <row r="451" spans="1:19" hidden="1">
      <c r="A451" t="inlineStr">
        <is>
          <t>OPVAL-P4A-S0-T-E004</t>
        </is>
      </c>
      <c r="B451" t="inlineStr">
        <is>
          <t>OPVAL-P4A-S0-T</t>
        </is>
      </c>
      <c r="C451" t="inlineStr">
        <is>
          <t>OPVAL</t>
        </is>
      </c>
      <c r="D451" s="56">
        <v>2026</v>
      </c>
      <c r="E451" s="56" t="inlineStr">
        <is>
          <t>P4A</t>
        </is>
      </c>
      <c r="F451" t="inlineStr">
        <is>
          <t>144 Crosscove Circle</t>
        </is>
      </c>
      <c r="G451" t="inlineStr">
        <is>
          <t>Table</t>
        </is>
      </c>
      <c r="H451" s="62">
        <v>4</v>
      </c>
      <c r="I451">
        <v>4</v>
      </c>
      <c r="J451" s="65">
        <v>780000</v>
      </c>
      <c r="K451" s="65">
        <v>750000</v>
      </c>
      <c r="L451" s="65">
        <v>749900</v>
      </c>
      <c r="M451" s="56" t="inlineStr">
        <is>
          <t>Yes</t>
        </is>
      </c>
      <c r="N451" t="inlineStr">
        <is>
          <t>Original</t>
        </is>
      </c>
      <c r="O451" t="inlineStr">
        <is>
          <t>QUALIFY</t>
        </is>
      </c>
      <c r="S451" t="inlineStr">
        <is>
          <t>Full ledger row</t>
        </is>
      </c>
    </row>
    <row r="452" spans="1:19" s="59" customFormat="1" ht="42.75">
      <c r="A452" s="59" t="inlineStr">
        <is>
          <t>OPVAL-P4A-S0-T-E005</t>
        </is>
      </c>
      <c r="B452" s="59" t="inlineStr">
        <is>
          <t>OPVAL-P4A-S0-T</t>
        </is>
      </c>
      <c r="C452" s="59" t="inlineStr">
        <is>
          <t>OPVAL</t>
        </is>
      </c>
      <c r="D452" s="63">
        <v>2026</v>
      </c>
      <c r="E452" s="63" t="inlineStr">
        <is>
          <t>P4A</t>
        </is>
      </c>
      <c r="F452" s="59" t="inlineStr">
        <is>
          <t>144 Crosscove Circle</t>
        </is>
      </c>
      <c r="G452" s="59" t="inlineStr">
        <is>
          <t>Table</t>
        </is>
      </c>
      <c r="H452" s="62"/>
      <c r="I452" s="59">
        <v>5</v>
      </c>
      <c r="J452" s="66">
        <v>775000</v>
      </c>
      <c r="K452" s="66">
        <v>745000</v>
      </c>
      <c r="L452" s="66">
        <v>749900</v>
      </c>
      <c r="M452" s="63" t="inlineStr">
        <is>
          <t>No</t>
        </is>
      </c>
      <c r="N452" s="59" t="inlineStr">
        <is>
          <t>Original</t>
        </is>
      </c>
      <c r="O452" s="59" t="inlineStr">
        <is>
          <t>EXCLUDE</t>
        </is>
      </c>
      <c r="Q452" s="59">
        <v>11</v>
      </c>
      <c r="R452" s="59" t="inlineStr">
        <is>
          <t>EXCLUDE — Subject reconstructed as having a 1.5-car garage and that fact was admitted into comparative reasoning; DSS establishes 2 garage spaces. No causal effect on I/F is asserted.</t>
        </is>
      </c>
      <c r="S452" s="59" t="inlineStr">
        <is>
          <t>Full ledger row</t>
        </is>
      </c>
    </row>
    <row r="453" spans="1:19" hidden="1">
      <c r="A453" t="inlineStr">
        <is>
          <t>OPVAL-P4A-S0-T-E006</t>
        </is>
      </c>
      <c r="B453" t="inlineStr">
        <is>
          <t>OPVAL-P4A-S0-T</t>
        </is>
      </c>
      <c r="C453" t="inlineStr">
        <is>
          <t>OPVAL</t>
        </is>
      </c>
      <c r="D453" s="56">
        <v>2026</v>
      </c>
      <c r="E453" s="56" t="inlineStr">
        <is>
          <t>P4A</t>
        </is>
      </c>
      <c r="F453" t="inlineStr">
        <is>
          <t>144 Crosscove Circle</t>
        </is>
      </c>
      <c r="G453" t="inlineStr">
        <is>
          <t>Table</t>
        </is>
      </c>
      <c r="H453" s="62">
        <v>6</v>
      </c>
      <c r="I453">
        <v>6</v>
      </c>
      <c r="J453" s="65">
        <v>750000</v>
      </c>
      <c r="K453" s="65">
        <v>742500</v>
      </c>
      <c r="L453" s="65">
        <v>749900</v>
      </c>
      <c r="M453" s="56" t="inlineStr">
        <is>
          <t>Yes</t>
        </is>
      </c>
      <c r="N453" t="inlineStr">
        <is>
          <t>Original</t>
        </is>
      </c>
      <c r="O453" t="inlineStr">
        <is>
          <t>QUALIFY</t>
        </is>
      </c>
      <c r="S453" t="inlineStr">
        <is>
          <t>Full ledger row</t>
        </is>
      </c>
    </row>
    <row r="454" spans="1:19" hidden="1">
      <c r="A454" t="inlineStr">
        <is>
          <t>OPVAL-P4A-S0-T-E007</t>
        </is>
      </c>
      <c r="B454" t="inlineStr">
        <is>
          <t>OPVAL-P4A-S0-T</t>
        </is>
      </c>
      <c r="C454" t="inlineStr">
        <is>
          <t>OPVAL</t>
        </is>
      </c>
      <c r="D454" s="56">
        <v>2026</v>
      </c>
      <c r="E454" s="56" t="inlineStr">
        <is>
          <t>P4A</t>
        </is>
      </c>
      <c r="F454" t="inlineStr">
        <is>
          <t>144 Crosscove Circle</t>
        </is>
      </c>
      <c r="G454" t="inlineStr">
        <is>
          <t>Table</t>
        </is>
      </c>
      <c r="H454" s="62">
        <v>7</v>
      </c>
      <c r="I454">
        <v>7</v>
      </c>
      <c r="J454" s="65">
        <v>755000</v>
      </c>
      <c r="K454" s="65">
        <v>745000</v>
      </c>
      <c r="L454" s="65">
        <v>749900</v>
      </c>
      <c r="M454" s="56" t="inlineStr">
        <is>
          <t>Yes</t>
        </is>
      </c>
      <c r="N454" t="inlineStr">
        <is>
          <t>Original</t>
        </is>
      </c>
      <c r="O454" t="inlineStr">
        <is>
          <t>QUALIFY</t>
        </is>
      </c>
      <c r="S454" t="inlineStr">
        <is>
          <t>Full ledger row</t>
        </is>
      </c>
    </row>
    <row r="455" spans="1:19" hidden="1">
      <c r="A455" t="inlineStr">
        <is>
          <t>OPVAL-P4A-S0-T-E008</t>
        </is>
      </c>
      <c r="B455" t="inlineStr">
        <is>
          <t>OPVAL-P4A-S0-T</t>
        </is>
      </c>
      <c r="C455" t="inlineStr">
        <is>
          <t>OPVAL</t>
        </is>
      </c>
      <c r="D455" s="56">
        <v>2026</v>
      </c>
      <c r="E455" s="56" t="inlineStr">
        <is>
          <t>P4A</t>
        </is>
      </c>
      <c r="F455" t="inlineStr">
        <is>
          <t>144 Crosscove Circle</t>
        </is>
      </c>
      <c r="G455" t="inlineStr">
        <is>
          <t>Table</t>
        </is>
      </c>
      <c r="H455" s="62">
        <v>8</v>
      </c>
      <c r="I455">
        <v>8</v>
      </c>
      <c r="J455" s="65">
        <v>780000</v>
      </c>
      <c r="K455" s="65">
        <v>765000</v>
      </c>
      <c r="L455" s="65">
        <v>749900</v>
      </c>
      <c r="M455" s="56" t="inlineStr">
        <is>
          <t>Yes</t>
        </is>
      </c>
      <c r="N455" t="inlineStr">
        <is>
          <t>Original</t>
        </is>
      </c>
      <c r="O455" t="inlineStr">
        <is>
          <t>QUALIFY</t>
        </is>
      </c>
      <c r="S455" t="inlineStr">
        <is>
          <t>Full ledger row</t>
        </is>
      </c>
    </row>
    <row r="456" spans="1:19" hidden="1">
      <c r="A456" t="inlineStr">
        <is>
          <t>OPVAL-P4A-S0-T-E009</t>
        </is>
      </c>
      <c r="B456" t="inlineStr">
        <is>
          <t>OPVAL-P4A-S0-T</t>
        </is>
      </c>
      <c r="C456" t="inlineStr">
        <is>
          <t>OPVAL</t>
        </is>
      </c>
      <c r="D456" s="56">
        <v>2026</v>
      </c>
      <c r="E456" s="56" t="inlineStr">
        <is>
          <t>P4A</t>
        </is>
      </c>
      <c r="F456" t="inlineStr">
        <is>
          <t>144 Crosscove Circle</t>
        </is>
      </c>
      <c r="G456" t="inlineStr">
        <is>
          <t>Table</t>
        </is>
      </c>
      <c r="H456" s="62">
        <v>9</v>
      </c>
      <c r="I456">
        <v>9</v>
      </c>
      <c r="J456" s="65">
        <v>760000</v>
      </c>
      <c r="K456" s="65">
        <v>750000</v>
      </c>
      <c r="L456" s="65">
        <v>749900</v>
      </c>
      <c r="M456" s="56" t="inlineStr">
        <is>
          <t>Yes</t>
        </is>
      </c>
      <c r="N456" t="inlineStr">
        <is>
          <t>Original</t>
        </is>
      </c>
      <c r="O456" t="inlineStr">
        <is>
          <t>QUALIFY</t>
        </is>
      </c>
      <c r="S456" t="inlineStr">
        <is>
          <t>Full ledger row</t>
        </is>
      </c>
    </row>
    <row r="457" spans="1:19" hidden="1">
      <c r="A457" t="inlineStr">
        <is>
          <t>OPVAL-P4A-S0-T-E010</t>
        </is>
      </c>
      <c r="B457" t="inlineStr">
        <is>
          <t>OPVAL-P4A-S0-T</t>
        </is>
      </c>
      <c r="C457" t="inlineStr">
        <is>
          <t>OPVAL</t>
        </is>
      </c>
      <c r="D457" s="56">
        <v>2026</v>
      </c>
      <c r="E457" s="56" t="inlineStr">
        <is>
          <t>P4A</t>
        </is>
      </c>
      <c r="F457" t="inlineStr">
        <is>
          <t>144 Crosscove Circle</t>
        </is>
      </c>
      <c r="G457" t="inlineStr">
        <is>
          <t>Table</t>
        </is>
      </c>
      <c r="H457" s="62">
        <v>10</v>
      </c>
      <c r="I457">
        <v>10</v>
      </c>
      <c r="J457" s="65">
        <v>755000</v>
      </c>
      <c r="K457" s="65">
        <v>750000</v>
      </c>
      <c r="L457" s="65">
        <v>749900</v>
      </c>
      <c r="M457" s="56" t="inlineStr">
        <is>
          <t>Yes</t>
        </is>
      </c>
      <c r="N457" t="inlineStr">
        <is>
          <t>Original</t>
        </is>
      </c>
      <c r="O457" t="inlineStr">
        <is>
          <t>QUALIFY</t>
        </is>
      </c>
      <c r="S457" t="inlineStr">
        <is>
          <t>Full ledger row</t>
        </is>
      </c>
    </row>
    <row r="458" spans="1:19" hidden="1">
      <c r="A458" t="inlineStr">
        <is>
          <t>OPVAL-P4A-S0-T-E011</t>
        </is>
      </c>
      <c r="B458" t="inlineStr">
        <is>
          <t>OPVAL-P4A-S0-T</t>
        </is>
      </c>
      <c r="C458" t="inlineStr">
        <is>
          <t>OPVAL</t>
        </is>
      </c>
      <c r="D458" s="56">
        <v>2026</v>
      </c>
      <c r="E458" s="56" t="inlineStr">
        <is>
          <t>P4A</t>
        </is>
      </c>
      <c r="F458" t="inlineStr">
        <is>
          <t>144 Crosscove Circle</t>
        </is>
      </c>
      <c r="G458" t="inlineStr">
        <is>
          <t>Table</t>
        </is>
      </c>
      <c r="H458" s="62">
        <v>5</v>
      </c>
      <c r="I458">
        <v>11</v>
      </c>
      <c r="J458" s="65">
        <v>760000</v>
      </c>
      <c r="K458" s="65">
        <v>750000</v>
      </c>
      <c r="L458" s="65">
        <v>749900</v>
      </c>
      <c r="M458" s="56" t="inlineStr">
        <is>
          <t>Yes</t>
        </is>
      </c>
      <c r="N458" t="inlineStr">
        <is>
          <t>Replacement</t>
        </is>
      </c>
      <c r="O458" t="inlineStr">
        <is>
          <t>QUALIFY</t>
        </is>
      </c>
      <c r="P458">
        <v>5</v>
      </c>
      <c r="R458" t="inlineStr">
        <is>
          <t>Qualifying replacement for excluded original Run 5; normal substantive QC PASS.</t>
        </is>
      </c>
      <c r="S458" t="inlineStr">
        <is>
          <t>Full ledger row</t>
        </is>
      </c>
    </row>
    <row r="459" spans="1:19" hidden="1">
      <c r="A459" t="inlineStr">
        <is>
          <t>OPVAL-P5A-S0-T-E001</t>
        </is>
      </c>
      <c r="B459" t="inlineStr">
        <is>
          <t>OPVAL-P5A-S0-T</t>
        </is>
      </c>
      <c r="C459" t="inlineStr">
        <is>
          <t>OPVAL</t>
        </is>
      </c>
      <c r="D459" s="56">
        <v>2026</v>
      </c>
      <c r="E459" s="56" t="inlineStr">
        <is>
          <t>P5A</t>
        </is>
      </c>
      <c r="F459" t="inlineStr">
        <is>
          <t>193 Crosscove Circle</t>
        </is>
      </c>
      <c r="G459" t="inlineStr">
        <is>
          <t>Table</t>
        </is>
      </c>
      <c r="H459" s="62">
        <v>1</v>
      </c>
      <c r="I459">
        <v>1</v>
      </c>
      <c r="J459" s="65">
        <v>655000</v>
      </c>
      <c r="K459" s="65">
        <v>645000</v>
      </c>
      <c r="L459" s="65">
        <v>635000</v>
      </c>
      <c r="M459" s="56" t="inlineStr">
        <is>
          <t>Yes</t>
        </is>
      </c>
      <c r="N459" t="inlineStr">
        <is>
          <t>Original</t>
        </is>
      </c>
      <c r="O459" t="inlineStr">
        <is>
          <t>QUALIFY</t>
        </is>
      </c>
      <c r="S459" t="inlineStr">
        <is>
          <t>Full ledger row</t>
        </is>
      </c>
    </row>
    <row r="460" spans="1:19" hidden="1">
      <c r="A460" t="inlineStr">
        <is>
          <t>OPVAL-P5A-S0-T-E002</t>
        </is>
      </c>
      <c r="B460" t="inlineStr">
        <is>
          <t>OPVAL-P5A-S0-T</t>
        </is>
      </c>
      <c r="C460" t="inlineStr">
        <is>
          <t>OPVAL</t>
        </is>
      </c>
      <c r="D460" s="56">
        <v>2026</v>
      </c>
      <c r="E460" s="56" t="inlineStr">
        <is>
          <t>P5A</t>
        </is>
      </c>
      <c r="F460" t="inlineStr">
        <is>
          <t>193 Crosscove Circle</t>
        </is>
      </c>
      <c r="G460" t="inlineStr">
        <is>
          <t>Table</t>
        </is>
      </c>
      <c r="H460" s="62">
        <v>2</v>
      </c>
      <c r="I460">
        <v>2</v>
      </c>
      <c r="J460" s="65">
        <v>665000</v>
      </c>
      <c r="K460" s="65">
        <v>635000</v>
      </c>
      <c r="L460" s="65">
        <v>635000</v>
      </c>
      <c r="M460" s="56" t="inlineStr">
        <is>
          <t>Yes</t>
        </is>
      </c>
      <c r="N460" t="inlineStr">
        <is>
          <t>Original</t>
        </is>
      </c>
      <c r="O460" t="inlineStr">
        <is>
          <t>QUALIFY</t>
        </is>
      </c>
      <c r="S460" t="inlineStr">
        <is>
          <t>Full ledger row</t>
        </is>
      </c>
    </row>
    <row r="461" spans="1:19" hidden="1">
      <c r="A461" t="inlineStr">
        <is>
          <t>OPVAL-P5A-S0-T-E003</t>
        </is>
      </c>
      <c r="B461" t="inlineStr">
        <is>
          <t>OPVAL-P5A-S0-T</t>
        </is>
      </c>
      <c r="C461" t="inlineStr">
        <is>
          <t>OPVAL</t>
        </is>
      </c>
      <c r="D461" s="56">
        <v>2026</v>
      </c>
      <c r="E461" s="56" t="inlineStr">
        <is>
          <t>P5A</t>
        </is>
      </c>
      <c r="F461" t="inlineStr">
        <is>
          <t>193 Crosscove Circle</t>
        </is>
      </c>
      <c r="G461" t="inlineStr">
        <is>
          <t>Table</t>
        </is>
      </c>
      <c r="H461" s="62">
        <v>3</v>
      </c>
      <c r="I461">
        <v>3</v>
      </c>
      <c r="J461" s="65">
        <v>650000</v>
      </c>
      <c r="K461" s="65">
        <v>640000</v>
      </c>
      <c r="L461" s="65">
        <v>635000</v>
      </c>
      <c r="M461" s="56" t="inlineStr">
        <is>
          <t>Yes</t>
        </is>
      </c>
      <c r="N461" t="inlineStr">
        <is>
          <t>Original</t>
        </is>
      </c>
      <c r="O461" t="inlineStr">
        <is>
          <t>QUALIFY</t>
        </is>
      </c>
      <c r="S461" t="inlineStr">
        <is>
          <t>Full ledger row</t>
        </is>
      </c>
    </row>
    <row r="462" spans="1:19" hidden="1">
      <c r="A462" t="inlineStr">
        <is>
          <t>OPVAL-P5A-S0-T-E004</t>
        </is>
      </c>
      <c r="B462" t="inlineStr">
        <is>
          <t>OPVAL-P5A-S0-T</t>
        </is>
      </c>
      <c r="C462" t="inlineStr">
        <is>
          <t>OPVAL</t>
        </is>
      </c>
      <c r="D462" s="56">
        <v>2026</v>
      </c>
      <c r="E462" s="56" t="inlineStr">
        <is>
          <t>P5A</t>
        </is>
      </c>
      <c r="F462" t="inlineStr">
        <is>
          <t>193 Crosscove Circle</t>
        </is>
      </c>
      <c r="G462" t="inlineStr">
        <is>
          <t>Table</t>
        </is>
      </c>
      <c r="H462" s="62">
        <v>4</v>
      </c>
      <c r="I462">
        <v>4</v>
      </c>
      <c r="J462" s="65">
        <v>665000</v>
      </c>
      <c r="K462" s="65">
        <v>640000</v>
      </c>
      <c r="L462" s="65">
        <v>635000</v>
      </c>
      <c r="M462" s="56" t="inlineStr">
        <is>
          <t>Yes</t>
        </is>
      </c>
      <c r="N462" t="inlineStr">
        <is>
          <t>Original</t>
        </is>
      </c>
      <c r="O462" t="inlineStr">
        <is>
          <t>QUALIFY</t>
        </is>
      </c>
      <c r="S462" t="inlineStr">
        <is>
          <t>Full ledger row</t>
        </is>
      </c>
    </row>
    <row r="463" spans="1:19" hidden="1">
      <c r="A463" t="inlineStr">
        <is>
          <t>OPVAL-P5A-S0-T-E005</t>
        </is>
      </c>
      <c r="B463" t="inlineStr">
        <is>
          <t>OPVAL-P5A-S0-T</t>
        </is>
      </c>
      <c r="C463" t="inlineStr">
        <is>
          <t>OPVAL</t>
        </is>
      </c>
      <c r="D463" s="56">
        <v>2026</v>
      </c>
      <c r="E463" s="56" t="inlineStr">
        <is>
          <t>P5A</t>
        </is>
      </c>
      <c r="F463" t="inlineStr">
        <is>
          <t>193 Crosscove Circle</t>
        </is>
      </c>
      <c r="G463" t="inlineStr">
        <is>
          <t>Table</t>
        </is>
      </c>
      <c r="H463" s="62">
        <v>5</v>
      </c>
      <c r="I463">
        <v>5</v>
      </c>
      <c r="J463" s="65">
        <v>665000</v>
      </c>
      <c r="K463" s="65">
        <v>640000</v>
      </c>
      <c r="L463" s="65">
        <v>635000</v>
      </c>
      <c r="M463" s="56" t="inlineStr">
        <is>
          <t>Yes</t>
        </is>
      </c>
      <c r="N463" t="inlineStr">
        <is>
          <t>Original</t>
        </is>
      </c>
      <c r="O463" t="inlineStr">
        <is>
          <t>QUALIFY</t>
        </is>
      </c>
      <c r="S463" t="inlineStr">
        <is>
          <t>Full ledger row</t>
        </is>
      </c>
    </row>
    <row r="464" spans="1:19" hidden="1">
      <c r="A464" t="inlineStr">
        <is>
          <t>OPVAL-P5A-S0-T-E006</t>
        </is>
      </c>
      <c r="B464" t="inlineStr">
        <is>
          <t>OPVAL-P5A-S0-T</t>
        </is>
      </c>
      <c r="C464" t="inlineStr">
        <is>
          <t>OPVAL</t>
        </is>
      </c>
      <c r="D464" s="56">
        <v>2026</v>
      </c>
      <c r="E464" s="56" t="inlineStr">
        <is>
          <t>P5A</t>
        </is>
      </c>
      <c r="F464" t="inlineStr">
        <is>
          <t>193 Crosscove Circle</t>
        </is>
      </c>
      <c r="G464" t="inlineStr">
        <is>
          <t>Table</t>
        </is>
      </c>
      <c r="H464" s="62">
        <v>6</v>
      </c>
      <c r="I464">
        <v>6</v>
      </c>
      <c r="J464" s="65">
        <v>670000</v>
      </c>
      <c r="K464" s="65">
        <v>640000</v>
      </c>
      <c r="L464" s="65">
        <v>635000</v>
      </c>
      <c r="M464" s="56" t="inlineStr">
        <is>
          <t>Yes</t>
        </is>
      </c>
      <c r="N464" t="inlineStr">
        <is>
          <t>Original</t>
        </is>
      </c>
      <c r="O464" t="inlineStr">
        <is>
          <t>QUALIFY</t>
        </is>
      </c>
      <c r="S464" t="inlineStr">
        <is>
          <t>Full ledger row</t>
        </is>
      </c>
    </row>
    <row r="465" spans="1:19" hidden="1">
      <c r="A465" t="inlineStr">
        <is>
          <t>OPVAL-P5A-S0-T-E007</t>
        </is>
      </c>
      <c r="B465" t="inlineStr">
        <is>
          <t>OPVAL-P5A-S0-T</t>
        </is>
      </c>
      <c r="C465" t="inlineStr">
        <is>
          <t>OPVAL</t>
        </is>
      </c>
      <c r="D465" s="56">
        <v>2026</v>
      </c>
      <c r="E465" s="56" t="inlineStr">
        <is>
          <t>P5A</t>
        </is>
      </c>
      <c r="F465" t="inlineStr">
        <is>
          <t>193 Crosscove Circle</t>
        </is>
      </c>
      <c r="G465" t="inlineStr">
        <is>
          <t>Table</t>
        </is>
      </c>
      <c r="H465" s="62">
        <v>7</v>
      </c>
      <c r="I465">
        <v>7</v>
      </c>
      <c r="J465" s="65">
        <v>650000</v>
      </c>
      <c r="K465" s="65">
        <v>640000</v>
      </c>
      <c r="L465" s="65">
        <v>635000</v>
      </c>
      <c r="M465" s="56" t="inlineStr">
        <is>
          <t>Yes</t>
        </is>
      </c>
      <c r="N465" t="inlineStr">
        <is>
          <t>Original</t>
        </is>
      </c>
      <c r="O465" t="inlineStr">
        <is>
          <t>QUALIFY</t>
        </is>
      </c>
      <c r="S465" t="inlineStr">
        <is>
          <t>Full ledger row</t>
        </is>
      </c>
    </row>
    <row r="466" spans="1:19" hidden="1">
      <c r="A466" t="inlineStr">
        <is>
          <t>OPVAL-P5A-S0-T-E008</t>
        </is>
      </c>
      <c r="B466" t="inlineStr">
        <is>
          <t>OPVAL-P5A-S0-T</t>
        </is>
      </c>
      <c r="C466" t="inlineStr">
        <is>
          <t>OPVAL</t>
        </is>
      </c>
      <c r="D466" s="56">
        <v>2026</v>
      </c>
      <c r="E466" s="56" t="inlineStr">
        <is>
          <t>P5A</t>
        </is>
      </c>
      <c r="F466" t="inlineStr">
        <is>
          <t>193 Crosscove Circle</t>
        </is>
      </c>
      <c r="G466" t="inlineStr">
        <is>
          <t>Table</t>
        </is>
      </c>
      <c r="H466" s="62">
        <v>8</v>
      </c>
      <c r="I466">
        <v>8</v>
      </c>
      <c r="J466" s="65">
        <v>660000</v>
      </c>
      <c r="K466" s="65">
        <v>650000</v>
      </c>
      <c r="L466" s="65">
        <v>635000</v>
      </c>
      <c r="M466" s="56" t="inlineStr">
        <is>
          <t>Yes</t>
        </is>
      </c>
      <c r="N466" t="inlineStr">
        <is>
          <t>Original</t>
        </is>
      </c>
      <c r="O466" t="inlineStr">
        <is>
          <t>QUALIFY</t>
        </is>
      </c>
      <c r="S466" t="inlineStr">
        <is>
          <t>Full ledger row</t>
        </is>
      </c>
    </row>
    <row r="467" spans="1:19" hidden="1">
      <c r="A467" t="inlineStr">
        <is>
          <t>OPVAL-P5A-S0-T-E009</t>
        </is>
      </c>
      <c r="B467" t="inlineStr">
        <is>
          <t>OPVAL-P5A-S0-T</t>
        </is>
      </c>
      <c r="C467" t="inlineStr">
        <is>
          <t>OPVAL</t>
        </is>
      </c>
      <c r="D467" s="56">
        <v>2026</v>
      </c>
      <c r="E467" s="56" t="inlineStr">
        <is>
          <t>P5A</t>
        </is>
      </c>
      <c r="F467" t="inlineStr">
        <is>
          <t>193 Crosscove Circle</t>
        </is>
      </c>
      <c r="G467" t="inlineStr">
        <is>
          <t>Table</t>
        </is>
      </c>
      <c r="H467" s="62">
        <v>9</v>
      </c>
      <c r="I467">
        <v>9</v>
      </c>
      <c r="J467" s="65">
        <v>660000</v>
      </c>
      <c r="K467" s="65">
        <v>642000</v>
      </c>
      <c r="L467" s="65">
        <v>635000</v>
      </c>
      <c r="M467" s="56" t="inlineStr">
        <is>
          <t>Yes</t>
        </is>
      </c>
      <c r="N467" t="inlineStr">
        <is>
          <t>Original</t>
        </is>
      </c>
      <c r="O467" t="inlineStr">
        <is>
          <t>QUALIFY</t>
        </is>
      </c>
      <c r="S467" t="inlineStr">
        <is>
          <t>Full ledger row</t>
        </is>
      </c>
    </row>
    <row r="468" spans="1:19" hidden="1">
      <c r="A468" t="inlineStr">
        <is>
          <t>OPVAL-P5A-S0-T-E010</t>
        </is>
      </c>
      <c r="B468" t="inlineStr">
        <is>
          <t>OPVAL-P5A-S0-T</t>
        </is>
      </c>
      <c r="C468" t="inlineStr">
        <is>
          <t>OPVAL</t>
        </is>
      </c>
      <c r="D468" s="56">
        <v>2026</v>
      </c>
      <c r="E468" s="56" t="inlineStr">
        <is>
          <t>P5A</t>
        </is>
      </c>
      <c r="F468" t="inlineStr">
        <is>
          <t>193 Crosscove Circle</t>
        </is>
      </c>
      <c r="G468" t="inlineStr">
        <is>
          <t>Table</t>
        </is>
      </c>
      <c r="H468" s="62">
        <v>10</v>
      </c>
      <c r="I468">
        <v>10</v>
      </c>
      <c r="J468" s="65">
        <v>665000</v>
      </c>
      <c r="K468" s="65">
        <v>645000</v>
      </c>
      <c r="L468" s="65">
        <v>635000</v>
      </c>
      <c r="M468" s="56" t="inlineStr">
        <is>
          <t>Yes</t>
        </is>
      </c>
      <c r="N468" t="inlineStr">
        <is>
          <t>Original</t>
        </is>
      </c>
      <c r="O468" t="inlineStr">
        <is>
          <t>QUALIFY</t>
        </is>
      </c>
      <c r="S468" t="inlineStr">
        <is>
          <t>Full ledger row</t>
        </is>
      </c>
    </row>
    <row r="469" spans="1:19" hidden="1">
      <c r="A469" t="inlineStr">
        <is>
          <t>OPVAL-P6A-S0-T-E001</t>
        </is>
      </c>
      <c r="B469" t="inlineStr">
        <is>
          <t>OPVAL-P6A-S0-T</t>
        </is>
      </c>
      <c r="C469" t="inlineStr">
        <is>
          <t>OPVAL</t>
        </is>
      </c>
      <c r="D469" s="56">
        <v>2026</v>
      </c>
      <c r="E469" s="56" t="inlineStr">
        <is>
          <t>P6A</t>
        </is>
      </c>
      <c r="F469" t="inlineStr">
        <is>
          <t>185 Crosscove Circle</t>
        </is>
      </c>
      <c r="G469" t="inlineStr">
        <is>
          <t>Table</t>
        </is>
      </c>
      <c r="H469" s="62">
        <v>1</v>
      </c>
      <c r="I469">
        <v>1</v>
      </c>
      <c r="J469" s="65">
        <v>655000</v>
      </c>
      <c r="K469" s="65">
        <v>645000</v>
      </c>
      <c r="L469" s="65">
        <v>650000</v>
      </c>
      <c r="M469" s="56" t="inlineStr">
        <is>
          <t>Yes</t>
        </is>
      </c>
      <c r="N469" t="inlineStr">
        <is>
          <t>Original</t>
        </is>
      </c>
      <c r="O469" t="inlineStr">
        <is>
          <t>QUALIFY</t>
        </is>
      </c>
      <c r="S469" t="inlineStr">
        <is>
          <t>Full ledger row</t>
        </is>
      </c>
    </row>
    <row r="470" spans="1:19" hidden="1">
      <c r="A470" t="inlineStr">
        <is>
          <t>OPVAL-P6A-S0-T-E002</t>
        </is>
      </c>
      <c r="B470" t="inlineStr">
        <is>
          <t>OPVAL-P6A-S0-T</t>
        </is>
      </c>
      <c r="C470" t="inlineStr">
        <is>
          <t>OPVAL</t>
        </is>
      </c>
      <c r="D470" s="56">
        <v>2026</v>
      </c>
      <c r="E470" s="56" t="inlineStr">
        <is>
          <t>P6A</t>
        </is>
      </c>
      <c r="F470" t="inlineStr">
        <is>
          <t>185 Crosscove Circle</t>
        </is>
      </c>
      <c r="G470" t="inlineStr">
        <is>
          <t>Table</t>
        </is>
      </c>
      <c r="H470" s="62">
        <v>2</v>
      </c>
      <c r="I470">
        <v>2</v>
      </c>
      <c r="J470" s="65">
        <v>645000</v>
      </c>
      <c r="K470" s="65">
        <v>650000</v>
      </c>
      <c r="L470" s="65">
        <v>650000</v>
      </c>
      <c r="M470" s="56" t="inlineStr">
        <is>
          <t>Yes</t>
        </is>
      </c>
      <c r="N470" t="inlineStr">
        <is>
          <t>Original</t>
        </is>
      </c>
      <c r="O470" t="inlineStr">
        <is>
          <t>QUALIFY</t>
        </is>
      </c>
      <c r="S470" t="inlineStr">
        <is>
          <t>Full ledger row</t>
        </is>
      </c>
    </row>
    <row r="471" spans="1:19" hidden="1">
      <c r="A471" t="inlineStr">
        <is>
          <t>OPVAL-P6A-S0-T-E003</t>
        </is>
      </c>
      <c r="B471" t="inlineStr">
        <is>
          <t>OPVAL-P6A-S0-T</t>
        </is>
      </c>
      <c r="C471" t="inlineStr">
        <is>
          <t>OPVAL</t>
        </is>
      </c>
      <c r="D471" s="56">
        <v>2026</v>
      </c>
      <c r="E471" s="56" t="inlineStr">
        <is>
          <t>P6A</t>
        </is>
      </c>
      <c r="F471" t="inlineStr">
        <is>
          <t>185 Crosscove Circle</t>
        </is>
      </c>
      <c r="G471" t="inlineStr">
        <is>
          <t>Table</t>
        </is>
      </c>
      <c r="H471" s="62">
        <v>3</v>
      </c>
      <c r="I471">
        <v>3</v>
      </c>
      <c r="J471" s="65">
        <v>645000</v>
      </c>
      <c r="K471" s="65">
        <v>650000</v>
      </c>
      <c r="L471" s="65">
        <v>650000</v>
      </c>
      <c r="M471" s="56" t="inlineStr">
        <is>
          <t>Yes</t>
        </is>
      </c>
      <c r="N471" t="inlineStr">
        <is>
          <t>Original</t>
        </is>
      </c>
      <c r="O471" t="inlineStr">
        <is>
          <t>QUALIFY</t>
        </is>
      </c>
      <c r="S471" t="inlineStr">
        <is>
          <t>Full ledger row</t>
        </is>
      </c>
    </row>
    <row r="472" spans="1:19" hidden="1">
      <c r="A472" t="inlineStr">
        <is>
          <t>OPVAL-P6A-S0-T-E004</t>
        </is>
      </c>
      <c r="B472" t="inlineStr">
        <is>
          <t>OPVAL-P6A-S0-T</t>
        </is>
      </c>
      <c r="C472" t="inlineStr">
        <is>
          <t>OPVAL</t>
        </is>
      </c>
      <c r="D472" s="56">
        <v>2026</v>
      </c>
      <c r="E472" s="56" t="inlineStr">
        <is>
          <t>P6A</t>
        </is>
      </c>
      <c r="F472" t="inlineStr">
        <is>
          <t>185 Crosscove Circle</t>
        </is>
      </c>
      <c r="G472" t="inlineStr">
        <is>
          <t>Table</t>
        </is>
      </c>
      <c r="H472" s="62">
        <v>4</v>
      </c>
      <c r="I472">
        <v>4</v>
      </c>
      <c r="J472" s="65">
        <v>650000</v>
      </c>
      <c r="K472" s="65">
        <v>645000</v>
      </c>
      <c r="L472" s="65">
        <v>650000</v>
      </c>
      <c r="M472" s="56" t="inlineStr">
        <is>
          <t>Yes</t>
        </is>
      </c>
      <c r="N472" t="inlineStr">
        <is>
          <t>Original</t>
        </is>
      </c>
      <c r="O472" t="inlineStr">
        <is>
          <t>QUALIFY</t>
        </is>
      </c>
      <c r="S472" t="inlineStr">
        <is>
          <t>Full ledger row</t>
        </is>
      </c>
    </row>
    <row r="473" spans="1:19" hidden="1">
      <c r="A473" t="inlineStr">
        <is>
          <t>OPVAL-P6A-S0-T-E005</t>
        </is>
      </c>
      <c r="B473" t="inlineStr">
        <is>
          <t>OPVAL-P6A-S0-T</t>
        </is>
      </c>
      <c r="C473" t="inlineStr">
        <is>
          <t>OPVAL</t>
        </is>
      </c>
      <c r="D473" s="56">
        <v>2026</v>
      </c>
      <c r="E473" s="56" t="inlineStr">
        <is>
          <t>P6A</t>
        </is>
      </c>
      <c r="F473" t="inlineStr">
        <is>
          <t>185 Crosscove Circle</t>
        </is>
      </c>
      <c r="G473" t="inlineStr">
        <is>
          <t>Table</t>
        </is>
      </c>
      <c r="H473" s="62">
        <v>5</v>
      </c>
      <c r="I473">
        <v>5</v>
      </c>
      <c r="J473" s="65">
        <v>640000</v>
      </c>
      <c r="K473" s="65">
        <v>645000</v>
      </c>
      <c r="L473" s="65">
        <v>650000</v>
      </c>
      <c r="M473" s="56" t="inlineStr">
        <is>
          <t>Yes</t>
        </is>
      </c>
      <c r="N473" t="inlineStr">
        <is>
          <t>Original</t>
        </is>
      </c>
      <c r="O473" t="inlineStr">
        <is>
          <t>QUALIFY</t>
        </is>
      </c>
      <c r="S473" t="inlineStr">
        <is>
          <t>Full ledger row</t>
        </is>
      </c>
    </row>
    <row r="474" spans="1:19" hidden="1">
      <c r="A474" t="inlineStr">
        <is>
          <t>OPVAL-P6A-S0-T-E006</t>
        </is>
      </c>
      <c r="B474" t="inlineStr">
        <is>
          <t>OPVAL-P6A-S0-T</t>
        </is>
      </c>
      <c r="C474" t="inlineStr">
        <is>
          <t>OPVAL</t>
        </is>
      </c>
      <c r="D474" s="56">
        <v>2026</v>
      </c>
      <c r="E474" s="56" t="inlineStr">
        <is>
          <t>P6A</t>
        </is>
      </c>
      <c r="F474" t="inlineStr">
        <is>
          <t>185 Crosscove Circle</t>
        </is>
      </c>
      <c r="G474" t="inlineStr">
        <is>
          <t>Table</t>
        </is>
      </c>
      <c r="H474" s="62">
        <v>6</v>
      </c>
      <c r="I474">
        <v>6</v>
      </c>
      <c r="J474" s="65">
        <v>640000</v>
      </c>
      <c r="K474" s="65">
        <v>645000</v>
      </c>
      <c r="L474" s="65">
        <v>650000</v>
      </c>
      <c r="M474" s="56" t="inlineStr">
        <is>
          <t>Yes</t>
        </is>
      </c>
      <c r="N474" t="inlineStr">
        <is>
          <t>Original</t>
        </is>
      </c>
      <c r="O474" t="inlineStr">
        <is>
          <t>QUALIFY</t>
        </is>
      </c>
      <c r="S474" t="inlineStr">
        <is>
          <t>Full ledger row</t>
        </is>
      </c>
    </row>
    <row r="475" spans="1:19" hidden="1">
      <c r="A475" t="inlineStr">
        <is>
          <t>OPVAL-P6A-S0-T-E007</t>
        </is>
      </c>
      <c r="B475" t="inlineStr">
        <is>
          <t>OPVAL-P6A-S0-T</t>
        </is>
      </c>
      <c r="C475" t="inlineStr">
        <is>
          <t>OPVAL</t>
        </is>
      </c>
      <c r="D475" s="56">
        <v>2026</v>
      </c>
      <c r="E475" s="56" t="inlineStr">
        <is>
          <t>P6A</t>
        </is>
      </c>
      <c r="F475" t="inlineStr">
        <is>
          <t>185 Crosscove Circle</t>
        </is>
      </c>
      <c r="G475" t="inlineStr">
        <is>
          <t>Table</t>
        </is>
      </c>
      <c r="H475" s="62">
        <v>7</v>
      </c>
      <c r="I475">
        <v>7</v>
      </c>
      <c r="J475" s="65">
        <v>650000</v>
      </c>
      <c r="K475" s="65">
        <v>650000</v>
      </c>
      <c r="L475" s="65">
        <v>650000</v>
      </c>
      <c r="M475" s="56" t="inlineStr">
        <is>
          <t>Yes</t>
        </is>
      </c>
      <c r="N475" t="inlineStr">
        <is>
          <t>Original</t>
        </is>
      </c>
      <c r="O475" t="inlineStr">
        <is>
          <t>QUALIFY</t>
        </is>
      </c>
      <c r="S475" t="inlineStr">
        <is>
          <t>Full ledger row</t>
        </is>
      </c>
    </row>
    <row r="476" spans="1:19" hidden="1">
      <c r="A476" t="inlineStr">
        <is>
          <t>OPVAL-P6A-S0-T-E008</t>
        </is>
      </c>
      <c r="B476" t="inlineStr">
        <is>
          <t>OPVAL-P6A-S0-T</t>
        </is>
      </c>
      <c r="C476" t="inlineStr">
        <is>
          <t>OPVAL</t>
        </is>
      </c>
      <c r="D476" s="56">
        <v>2026</v>
      </c>
      <c r="E476" s="56" t="inlineStr">
        <is>
          <t>P6A</t>
        </is>
      </c>
      <c r="F476" t="inlineStr">
        <is>
          <t>185 Crosscove Circle</t>
        </is>
      </c>
      <c r="G476" t="inlineStr">
        <is>
          <t>Table</t>
        </is>
      </c>
      <c r="H476" s="62">
        <v>8</v>
      </c>
      <c r="I476">
        <v>8</v>
      </c>
      <c r="J476" s="65">
        <v>645000</v>
      </c>
      <c r="K476" s="65">
        <v>650000</v>
      </c>
      <c r="L476" s="65">
        <v>650000</v>
      </c>
      <c r="M476" s="56" t="inlineStr">
        <is>
          <t>Yes</t>
        </is>
      </c>
      <c r="N476" t="inlineStr">
        <is>
          <t>Original</t>
        </is>
      </c>
      <c r="O476" t="inlineStr">
        <is>
          <t>QUALIFY</t>
        </is>
      </c>
      <c r="S476" t="inlineStr">
        <is>
          <t>Full ledger row</t>
        </is>
      </c>
    </row>
    <row r="477" spans="1:19" hidden="1">
      <c r="A477" t="inlineStr">
        <is>
          <t>OPVAL-P6A-S0-T-E009</t>
        </is>
      </c>
      <c r="B477" t="inlineStr">
        <is>
          <t>OPVAL-P6A-S0-T</t>
        </is>
      </c>
      <c r="C477" t="inlineStr">
        <is>
          <t>OPVAL</t>
        </is>
      </c>
      <c r="D477" s="56">
        <v>2026</v>
      </c>
      <c r="E477" s="56" t="inlineStr">
        <is>
          <t>P6A</t>
        </is>
      </c>
      <c r="F477" t="inlineStr">
        <is>
          <t>185 Crosscove Circle</t>
        </is>
      </c>
      <c r="G477" t="inlineStr">
        <is>
          <t>Table</t>
        </is>
      </c>
      <c r="H477" s="62">
        <v>9</v>
      </c>
      <c r="I477">
        <v>9</v>
      </c>
      <c r="J477" s="65">
        <v>650000</v>
      </c>
      <c r="K477" s="65">
        <v>645000</v>
      </c>
      <c r="L477" s="65">
        <v>650000</v>
      </c>
      <c r="M477" s="56" t="inlineStr">
        <is>
          <t>Yes</t>
        </is>
      </c>
      <c r="N477" t="inlineStr">
        <is>
          <t>Original</t>
        </is>
      </c>
      <c r="O477" t="inlineStr">
        <is>
          <t>QUALIFY</t>
        </is>
      </c>
      <c r="S477" t="inlineStr">
        <is>
          <t>Full ledger row</t>
        </is>
      </c>
    </row>
    <row r="478" spans="1:19" hidden="1">
      <c r="A478" t="inlineStr">
        <is>
          <t>OPVAL-P6A-S0-T-E010</t>
        </is>
      </c>
      <c r="B478" t="inlineStr">
        <is>
          <t>OPVAL-P6A-S0-T</t>
        </is>
      </c>
      <c r="C478" t="inlineStr">
        <is>
          <t>OPVAL</t>
        </is>
      </c>
      <c r="D478" s="56">
        <v>2026</v>
      </c>
      <c r="E478" s="56" t="inlineStr">
        <is>
          <t>P6A</t>
        </is>
      </c>
      <c r="F478" t="inlineStr">
        <is>
          <t>185 Crosscove Circle</t>
        </is>
      </c>
      <c r="G478" t="inlineStr">
        <is>
          <t>Table</t>
        </is>
      </c>
      <c r="H478" s="62">
        <v>10</v>
      </c>
      <c r="I478">
        <v>10</v>
      </c>
      <c r="J478" s="65">
        <v>645000</v>
      </c>
      <c r="K478" s="65">
        <v>650000</v>
      </c>
      <c r="L478" s="65">
        <v>650000</v>
      </c>
      <c r="M478" s="56" t="inlineStr">
        <is>
          <t>Yes</t>
        </is>
      </c>
      <c r="N478" t="inlineStr">
        <is>
          <t>Original</t>
        </is>
      </c>
      <c r="O478" t="inlineStr">
        <is>
          <t>QUALIFY</t>
        </is>
      </c>
      <c r="S478" t="inlineStr">
        <is>
          <t>Full ledger row</t>
        </is>
      </c>
    </row>
    <row r="479" spans="1:19" hidden="1">
      <c r="A479" t="inlineStr">
        <is>
          <t>OPVAL-P7A-S0-T-E001</t>
        </is>
      </c>
      <c r="B479" t="inlineStr">
        <is>
          <t>OPVAL-P7A-S0-T</t>
        </is>
      </c>
      <c r="C479" t="inlineStr">
        <is>
          <t>OPVAL</t>
        </is>
      </c>
      <c r="D479" s="56">
        <v>2026</v>
      </c>
      <c r="E479" s="56" t="inlineStr">
        <is>
          <t>P7A</t>
        </is>
      </c>
      <c r="F479" t="inlineStr">
        <is>
          <t>205 Stellar Court</t>
        </is>
      </c>
      <c r="G479" t="inlineStr">
        <is>
          <t>Table</t>
        </is>
      </c>
      <c r="H479" s="62">
        <v>1</v>
      </c>
      <c r="I479">
        <v>1</v>
      </c>
      <c r="J479" s="65">
        <v>610000</v>
      </c>
      <c r="K479" s="65">
        <v>595000</v>
      </c>
      <c r="L479" s="65">
        <v>580000</v>
      </c>
      <c r="M479" s="56" t="inlineStr">
        <is>
          <t>Yes</t>
        </is>
      </c>
      <c r="N479" t="inlineStr">
        <is>
          <t>Original</t>
        </is>
      </c>
      <c r="O479" t="inlineStr">
        <is>
          <t>QUALIFY</t>
        </is>
      </c>
      <c r="S479" t="inlineStr">
        <is>
          <t>Full ledger row</t>
        </is>
      </c>
    </row>
    <row r="480" spans="1:19" hidden="1">
      <c r="A480" t="inlineStr">
        <is>
          <t>OPVAL-P7A-S0-T-E002</t>
        </is>
      </c>
      <c r="B480" t="inlineStr">
        <is>
          <t>OPVAL-P7A-S0-T</t>
        </is>
      </c>
      <c r="C480" t="inlineStr">
        <is>
          <t>OPVAL</t>
        </is>
      </c>
      <c r="D480" s="56">
        <v>2026</v>
      </c>
      <c r="E480" s="56" t="inlineStr">
        <is>
          <t>P7A</t>
        </is>
      </c>
      <c r="F480" t="inlineStr">
        <is>
          <t>205 Stellar Court</t>
        </is>
      </c>
      <c r="G480" t="inlineStr">
        <is>
          <t>Table</t>
        </is>
      </c>
      <c r="H480" s="62">
        <v>2</v>
      </c>
      <c r="I480">
        <v>2</v>
      </c>
      <c r="J480" s="65">
        <v>640000</v>
      </c>
      <c r="K480" s="65">
        <v>610000</v>
      </c>
      <c r="L480" s="65">
        <v>580000</v>
      </c>
      <c r="M480" s="56" t="inlineStr">
        <is>
          <t>Yes</t>
        </is>
      </c>
      <c r="N480" t="inlineStr">
        <is>
          <t>Original</t>
        </is>
      </c>
      <c r="O480" t="inlineStr">
        <is>
          <t>QUALIFY</t>
        </is>
      </c>
      <c r="S480" t="inlineStr">
        <is>
          <t>Full ledger row</t>
        </is>
      </c>
    </row>
    <row r="481" spans="1:19" hidden="1">
      <c r="A481" t="inlineStr">
        <is>
          <t>OPVAL-P7A-S0-T-E003</t>
        </is>
      </c>
      <c r="B481" t="inlineStr">
        <is>
          <t>OPVAL-P7A-S0-T</t>
        </is>
      </c>
      <c r="C481" t="inlineStr">
        <is>
          <t>OPVAL</t>
        </is>
      </c>
      <c r="D481" s="56">
        <v>2026</v>
      </c>
      <c r="E481" s="56" t="inlineStr">
        <is>
          <t>P7A</t>
        </is>
      </c>
      <c r="F481" t="inlineStr">
        <is>
          <t>205 Stellar Court</t>
        </is>
      </c>
      <c r="G481" t="inlineStr">
        <is>
          <t>Table</t>
        </is>
      </c>
      <c r="H481" s="62">
        <v>3</v>
      </c>
      <c r="I481">
        <v>3</v>
      </c>
      <c r="J481" s="65">
        <v>635000</v>
      </c>
      <c r="K481" s="65">
        <v>625000</v>
      </c>
      <c r="L481" s="65">
        <v>580000</v>
      </c>
      <c r="M481" s="56" t="inlineStr">
        <is>
          <t>Yes</t>
        </is>
      </c>
      <c r="N481" t="inlineStr">
        <is>
          <t>Original</t>
        </is>
      </c>
      <c r="O481" t="inlineStr">
        <is>
          <t>QUALIFY</t>
        </is>
      </c>
      <c r="S481" t="inlineStr">
        <is>
          <t>Full ledger row</t>
        </is>
      </c>
    </row>
    <row r="482" spans="1:19" hidden="1">
      <c r="A482" t="inlineStr">
        <is>
          <t>OPVAL-P7A-S0-T-E004</t>
        </is>
      </c>
      <c r="B482" t="inlineStr">
        <is>
          <t>OPVAL-P7A-S0-T</t>
        </is>
      </c>
      <c r="C482" t="inlineStr">
        <is>
          <t>OPVAL</t>
        </is>
      </c>
      <c r="D482" s="56">
        <v>2026</v>
      </c>
      <c r="E482" s="56" t="inlineStr">
        <is>
          <t>P7A</t>
        </is>
      </c>
      <c r="F482" t="inlineStr">
        <is>
          <t>205 Stellar Court</t>
        </is>
      </c>
      <c r="G482" t="inlineStr">
        <is>
          <t>Table</t>
        </is>
      </c>
      <c r="H482" s="62">
        <v>4</v>
      </c>
      <c r="I482">
        <v>4</v>
      </c>
      <c r="J482" s="65">
        <v>625000</v>
      </c>
      <c r="K482" s="65">
        <v>615000</v>
      </c>
      <c r="L482" s="65">
        <v>580000</v>
      </c>
      <c r="M482" s="56" t="inlineStr">
        <is>
          <t>Yes</t>
        </is>
      </c>
      <c r="N482" t="inlineStr">
        <is>
          <t>Original</t>
        </is>
      </c>
      <c r="O482" t="inlineStr">
        <is>
          <t>QUALIFY</t>
        </is>
      </c>
      <c r="S482" t="inlineStr">
        <is>
          <t>Full ledger row</t>
        </is>
      </c>
    </row>
    <row r="483" spans="1:19" hidden="1">
      <c r="A483" t="inlineStr">
        <is>
          <t>OPVAL-P7A-S0-T-E005</t>
        </is>
      </c>
      <c r="B483" t="inlineStr">
        <is>
          <t>OPVAL-P7A-S0-T</t>
        </is>
      </c>
      <c r="C483" t="inlineStr">
        <is>
          <t>OPVAL</t>
        </is>
      </c>
      <c r="D483" s="56">
        <v>2026</v>
      </c>
      <c r="E483" s="56" t="inlineStr">
        <is>
          <t>P7A</t>
        </is>
      </c>
      <c r="F483" t="inlineStr">
        <is>
          <t>205 Stellar Court</t>
        </is>
      </c>
      <c r="G483" t="inlineStr">
        <is>
          <t>Table</t>
        </is>
      </c>
      <c r="H483" s="62">
        <v>5</v>
      </c>
      <c r="I483">
        <v>5</v>
      </c>
      <c r="J483" s="65">
        <v>610000</v>
      </c>
      <c r="K483" s="65">
        <v>600000</v>
      </c>
      <c r="L483" s="65">
        <v>580000</v>
      </c>
      <c r="M483" s="56" t="inlineStr">
        <is>
          <t>Yes</t>
        </is>
      </c>
      <c r="N483" t="inlineStr">
        <is>
          <t>Original</t>
        </is>
      </c>
      <c r="O483" t="inlineStr">
        <is>
          <t>QUALIFY</t>
        </is>
      </c>
      <c r="S483" t="inlineStr">
        <is>
          <t>Full ledger row</t>
        </is>
      </c>
    </row>
    <row r="484" spans="1:19" hidden="1">
      <c r="A484" t="inlineStr">
        <is>
          <t>OPVAL-P7A-S0-T-E006</t>
        </is>
      </c>
      <c r="B484" t="inlineStr">
        <is>
          <t>OPVAL-P7A-S0-T</t>
        </is>
      </c>
      <c r="C484" t="inlineStr">
        <is>
          <t>OPVAL</t>
        </is>
      </c>
      <c r="D484" s="56">
        <v>2026</v>
      </c>
      <c r="E484" s="56" t="inlineStr">
        <is>
          <t>P7A</t>
        </is>
      </c>
      <c r="F484" t="inlineStr">
        <is>
          <t>205 Stellar Court</t>
        </is>
      </c>
      <c r="G484" t="inlineStr">
        <is>
          <t>Table</t>
        </is>
      </c>
      <c r="H484" s="62">
        <v>6</v>
      </c>
      <c r="I484">
        <v>6</v>
      </c>
      <c r="J484" s="65">
        <v>635000</v>
      </c>
      <c r="K484" s="65">
        <v>605000</v>
      </c>
      <c r="L484" s="65">
        <v>580000</v>
      </c>
      <c r="M484" s="56" t="inlineStr">
        <is>
          <t>Yes</t>
        </is>
      </c>
      <c r="N484" t="inlineStr">
        <is>
          <t>Original</t>
        </is>
      </c>
      <c r="O484" t="inlineStr">
        <is>
          <t>QUALIFY</t>
        </is>
      </c>
      <c r="S484" t="inlineStr">
        <is>
          <t>Full ledger row</t>
        </is>
      </c>
    </row>
    <row r="485" spans="1:19" hidden="1">
      <c r="A485" t="inlineStr">
        <is>
          <t>OPVAL-P7A-S0-T-E007</t>
        </is>
      </c>
      <c r="B485" t="inlineStr">
        <is>
          <t>OPVAL-P7A-S0-T</t>
        </is>
      </c>
      <c r="C485" t="inlineStr">
        <is>
          <t>OPVAL</t>
        </is>
      </c>
      <c r="D485" s="56">
        <v>2026</v>
      </c>
      <c r="E485" s="56" t="inlineStr">
        <is>
          <t>P7A</t>
        </is>
      </c>
      <c r="F485" t="inlineStr">
        <is>
          <t>205 Stellar Court</t>
        </is>
      </c>
      <c r="G485" t="inlineStr">
        <is>
          <t>Table</t>
        </is>
      </c>
      <c r="H485" s="62">
        <v>7</v>
      </c>
      <c r="I485">
        <v>7</v>
      </c>
      <c r="J485" s="65">
        <v>625000</v>
      </c>
      <c r="K485" s="65">
        <v>595000</v>
      </c>
      <c r="L485" s="65">
        <v>580000</v>
      </c>
      <c r="M485" s="56" t="inlineStr">
        <is>
          <t>Yes</t>
        </is>
      </c>
      <c r="N485" t="inlineStr">
        <is>
          <t>Original</t>
        </is>
      </c>
      <c r="O485" t="inlineStr">
        <is>
          <t>QUALIFY</t>
        </is>
      </c>
      <c r="S485" t="inlineStr">
        <is>
          <t>Full ledger row</t>
        </is>
      </c>
    </row>
    <row r="486" spans="1:19" hidden="1">
      <c r="A486" t="inlineStr">
        <is>
          <t>OPVAL-P7A-S0-T-E008</t>
        </is>
      </c>
      <c r="B486" t="inlineStr">
        <is>
          <t>OPVAL-P7A-S0-T</t>
        </is>
      </c>
      <c r="C486" t="inlineStr">
        <is>
          <t>OPVAL</t>
        </is>
      </c>
      <c r="D486" s="56">
        <v>2026</v>
      </c>
      <c r="E486" s="56" t="inlineStr">
        <is>
          <t>P7A</t>
        </is>
      </c>
      <c r="F486" t="inlineStr">
        <is>
          <t>205 Stellar Court</t>
        </is>
      </c>
      <c r="G486" t="inlineStr">
        <is>
          <t>Table</t>
        </is>
      </c>
      <c r="H486" s="62">
        <v>8</v>
      </c>
      <c r="I486">
        <v>8</v>
      </c>
      <c r="J486" s="65">
        <v>635000</v>
      </c>
      <c r="K486" s="65">
        <v>599000</v>
      </c>
      <c r="L486" s="65">
        <v>580000</v>
      </c>
      <c r="M486" s="56" t="inlineStr">
        <is>
          <t>Yes</t>
        </is>
      </c>
      <c r="N486" t="inlineStr">
        <is>
          <t>Original</t>
        </is>
      </c>
      <c r="O486" t="inlineStr">
        <is>
          <t>QUALIFY</t>
        </is>
      </c>
      <c r="S486" t="inlineStr">
        <is>
          <t>Full ledger row</t>
        </is>
      </c>
    </row>
    <row r="487" spans="1:19" hidden="1">
      <c r="A487" t="inlineStr">
        <is>
          <t>OPVAL-P7A-S0-T-E009</t>
        </is>
      </c>
      <c r="B487" t="inlineStr">
        <is>
          <t>OPVAL-P7A-S0-T</t>
        </is>
      </c>
      <c r="C487" t="inlineStr">
        <is>
          <t>OPVAL</t>
        </is>
      </c>
      <c r="D487" s="56">
        <v>2026</v>
      </c>
      <c r="E487" s="56" t="inlineStr">
        <is>
          <t>P7A</t>
        </is>
      </c>
      <c r="F487" t="inlineStr">
        <is>
          <t>205 Stellar Court</t>
        </is>
      </c>
      <c r="G487" t="inlineStr">
        <is>
          <t>Table</t>
        </is>
      </c>
      <c r="H487" s="62">
        <v>9</v>
      </c>
      <c r="I487">
        <v>9</v>
      </c>
      <c r="J487" s="65">
        <v>630000</v>
      </c>
      <c r="K487" s="65">
        <v>605000</v>
      </c>
      <c r="L487" s="65">
        <v>580000</v>
      </c>
      <c r="M487" s="56" t="inlineStr">
        <is>
          <t>Yes</t>
        </is>
      </c>
      <c r="N487" t="inlineStr">
        <is>
          <t>Original</t>
        </is>
      </c>
      <c r="O487" t="inlineStr">
        <is>
          <t>QUALIFY</t>
        </is>
      </c>
      <c r="S487" t="inlineStr">
        <is>
          <t>Full ledger row</t>
        </is>
      </c>
    </row>
    <row r="488" spans="1:19" hidden="1">
      <c r="A488" t="inlineStr">
        <is>
          <t>OPVAL-P7A-S0-T-E010</t>
        </is>
      </c>
      <c r="B488" t="inlineStr">
        <is>
          <t>OPVAL-P7A-S0-T</t>
        </is>
      </c>
      <c r="C488" t="inlineStr">
        <is>
          <t>OPVAL</t>
        </is>
      </c>
      <c r="D488" s="56">
        <v>2026</v>
      </c>
      <c r="E488" s="56" t="inlineStr">
        <is>
          <t>P7A</t>
        </is>
      </c>
      <c r="F488" t="inlineStr">
        <is>
          <t>205 Stellar Court</t>
        </is>
      </c>
      <c r="G488" t="inlineStr">
        <is>
          <t>Table</t>
        </is>
      </c>
      <c r="H488" s="62">
        <v>10</v>
      </c>
      <c r="I488">
        <v>10</v>
      </c>
      <c r="J488" s="65">
        <v>640000</v>
      </c>
      <c r="K488" s="65">
        <v>630000</v>
      </c>
      <c r="L488" s="65">
        <v>580000</v>
      </c>
      <c r="M488" s="56" t="inlineStr">
        <is>
          <t>Yes</t>
        </is>
      </c>
      <c r="N488" t="inlineStr">
        <is>
          <t>Original</t>
        </is>
      </c>
      <c r="O488" t="inlineStr">
        <is>
          <t>QUALIFY</t>
        </is>
      </c>
      <c r="S488" t="inlineStr">
        <is>
          <t>Full ledger row</t>
        </is>
      </c>
    </row>
    <row r="489" spans="1:19" hidden="1">
      <c r="A489" t="inlineStr">
        <is>
          <t>OPVAL-P8A-S0-T-E001</t>
        </is>
      </c>
      <c r="B489" t="inlineStr">
        <is>
          <t>OPVAL-P8A-S0-T</t>
        </is>
      </c>
      <c r="C489" t="inlineStr">
        <is>
          <t>OPVAL</t>
        </is>
      </c>
      <c r="D489" s="56">
        <v>2026</v>
      </c>
      <c r="E489" s="56" t="inlineStr">
        <is>
          <t>P8A</t>
        </is>
      </c>
      <c r="F489" t="inlineStr">
        <is>
          <t>173 Crossroad Lakes Drive</t>
        </is>
      </c>
      <c r="G489" t="inlineStr">
        <is>
          <t>Table</t>
        </is>
      </c>
      <c r="H489" s="62">
        <v>1</v>
      </c>
      <c r="I489">
        <v>1</v>
      </c>
      <c r="J489" s="65">
        <v>755000</v>
      </c>
      <c r="K489" s="65">
        <v>735000</v>
      </c>
      <c r="L489" s="65">
        <v>725000</v>
      </c>
      <c r="M489" s="56" t="inlineStr">
        <is>
          <t>Yes</t>
        </is>
      </c>
      <c r="N489" t="inlineStr">
        <is>
          <t>Original</t>
        </is>
      </c>
      <c r="O489" t="inlineStr">
        <is>
          <t>QUALIFY</t>
        </is>
      </c>
      <c r="S489" t="inlineStr">
        <is>
          <t>Full ledger row</t>
        </is>
      </c>
    </row>
    <row r="490" spans="1:19" hidden="1">
      <c r="A490" t="inlineStr">
        <is>
          <t>OPVAL-P8A-S0-T-E002</t>
        </is>
      </c>
      <c r="B490" t="inlineStr">
        <is>
          <t>OPVAL-P8A-S0-T</t>
        </is>
      </c>
      <c r="C490" t="inlineStr">
        <is>
          <t>OPVAL</t>
        </is>
      </c>
      <c r="D490" s="56">
        <v>2026</v>
      </c>
      <c r="E490" s="56" t="inlineStr">
        <is>
          <t>P8A</t>
        </is>
      </c>
      <c r="F490" t="inlineStr">
        <is>
          <t>173 Crossroad Lakes Drive</t>
        </is>
      </c>
      <c r="G490" t="inlineStr">
        <is>
          <t>Table</t>
        </is>
      </c>
      <c r="H490" s="62">
        <v>2</v>
      </c>
      <c r="I490">
        <v>2</v>
      </c>
      <c r="J490" s="65">
        <v>745000</v>
      </c>
      <c r="K490" s="65">
        <v>730000</v>
      </c>
      <c r="L490" s="65">
        <v>725000</v>
      </c>
      <c r="M490" s="56" t="inlineStr">
        <is>
          <t>Yes</t>
        </is>
      </c>
      <c r="N490" t="inlineStr">
        <is>
          <t>Original</t>
        </is>
      </c>
      <c r="O490" t="inlineStr">
        <is>
          <t>QUALIFY</t>
        </is>
      </c>
      <c r="S490" t="inlineStr">
        <is>
          <t>Full ledger row</t>
        </is>
      </c>
    </row>
    <row r="491" spans="1:19" hidden="1">
      <c r="A491" t="inlineStr">
        <is>
          <t>OPVAL-P8A-S0-T-E003</t>
        </is>
      </c>
      <c r="B491" t="inlineStr">
        <is>
          <t>OPVAL-P8A-S0-T</t>
        </is>
      </c>
      <c r="C491" t="inlineStr">
        <is>
          <t>OPVAL</t>
        </is>
      </c>
      <c r="D491" s="56">
        <v>2026</v>
      </c>
      <c r="E491" s="56" t="inlineStr">
        <is>
          <t>P8A</t>
        </is>
      </c>
      <c r="F491" t="inlineStr">
        <is>
          <t>173 Crossroad Lakes Drive</t>
        </is>
      </c>
      <c r="G491" t="inlineStr">
        <is>
          <t>Table</t>
        </is>
      </c>
      <c r="H491" s="62">
        <v>3</v>
      </c>
      <c r="I491">
        <v>3</v>
      </c>
      <c r="J491" s="65">
        <v>750000</v>
      </c>
      <c r="K491" s="65">
        <v>730000</v>
      </c>
      <c r="L491" s="65">
        <v>725000</v>
      </c>
      <c r="M491" s="56" t="inlineStr">
        <is>
          <t>Yes</t>
        </is>
      </c>
      <c r="N491" t="inlineStr">
        <is>
          <t>Original</t>
        </is>
      </c>
      <c r="O491" t="inlineStr">
        <is>
          <t>QUALIFY</t>
        </is>
      </c>
      <c r="S491" t="inlineStr">
        <is>
          <t>Full ledger row</t>
        </is>
      </c>
    </row>
    <row r="492" spans="1:19" hidden="1">
      <c r="A492" t="inlineStr">
        <is>
          <t>OPVAL-P8A-S0-T-E004</t>
        </is>
      </c>
      <c r="B492" t="inlineStr">
        <is>
          <t>OPVAL-P8A-S0-T</t>
        </is>
      </c>
      <c r="C492" t="inlineStr">
        <is>
          <t>OPVAL</t>
        </is>
      </c>
      <c r="D492" s="56">
        <v>2026</v>
      </c>
      <c r="E492" s="56" t="inlineStr">
        <is>
          <t>P8A</t>
        </is>
      </c>
      <c r="F492" t="inlineStr">
        <is>
          <t>173 Crossroad Lakes Drive</t>
        </is>
      </c>
      <c r="G492" t="inlineStr">
        <is>
          <t>Table</t>
        </is>
      </c>
      <c r="H492" s="62">
        <v>4</v>
      </c>
      <c r="I492">
        <v>4</v>
      </c>
      <c r="J492" s="65">
        <v>735000</v>
      </c>
      <c r="K492" s="65">
        <v>720000</v>
      </c>
      <c r="L492" s="65">
        <v>725000</v>
      </c>
      <c r="M492" s="56" t="inlineStr">
        <is>
          <t>Yes</t>
        </is>
      </c>
      <c r="N492" t="inlineStr">
        <is>
          <t>Original</t>
        </is>
      </c>
      <c r="O492" t="inlineStr">
        <is>
          <t>QUALIFY</t>
        </is>
      </c>
      <c r="S492" t="inlineStr">
        <is>
          <t>Full ledger row</t>
        </is>
      </c>
    </row>
    <row r="493" spans="1:19" hidden="1">
      <c r="A493" t="inlineStr">
        <is>
          <t>OPVAL-P8A-S0-T-E005</t>
        </is>
      </c>
      <c r="B493" t="inlineStr">
        <is>
          <t>OPVAL-P8A-S0-T</t>
        </is>
      </c>
      <c r="C493" t="inlineStr">
        <is>
          <t>OPVAL</t>
        </is>
      </c>
      <c r="D493" s="56">
        <v>2026</v>
      </c>
      <c r="E493" s="56" t="inlineStr">
        <is>
          <t>P8A</t>
        </is>
      </c>
      <c r="F493" t="inlineStr">
        <is>
          <t>173 Crossroad Lakes Drive</t>
        </is>
      </c>
      <c r="G493" t="inlineStr">
        <is>
          <t>Table</t>
        </is>
      </c>
      <c r="H493" s="62">
        <v>5</v>
      </c>
      <c r="I493">
        <v>5</v>
      </c>
      <c r="J493" s="65">
        <v>725000</v>
      </c>
      <c r="K493" s="65">
        <v>715000</v>
      </c>
      <c r="L493" s="65">
        <v>725000</v>
      </c>
      <c r="M493" s="56" t="inlineStr">
        <is>
          <t>Yes</t>
        </is>
      </c>
      <c r="N493" t="inlineStr">
        <is>
          <t>Original</t>
        </is>
      </c>
      <c r="O493" t="inlineStr">
        <is>
          <t>QUALIFY</t>
        </is>
      </c>
      <c r="S493" t="inlineStr">
        <is>
          <t>Full ledger row</t>
        </is>
      </c>
    </row>
    <row r="494" spans="1:19" hidden="1">
      <c r="A494" t="inlineStr">
        <is>
          <t>OPVAL-P8A-S0-T-E006</t>
        </is>
      </c>
      <c r="B494" t="inlineStr">
        <is>
          <t>OPVAL-P8A-S0-T</t>
        </is>
      </c>
      <c r="C494" t="inlineStr">
        <is>
          <t>OPVAL</t>
        </is>
      </c>
      <c r="D494" s="56">
        <v>2026</v>
      </c>
      <c r="E494" s="56" t="inlineStr">
        <is>
          <t>P8A</t>
        </is>
      </c>
      <c r="F494" t="inlineStr">
        <is>
          <t>173 Crossroad Lakes Drive</t>
        </is>
      </c>
      <c r="G494" t="inlineStr">
        <is>
          <t>Table</t>
        </is>
      </c>
      <c r="H494" s="62">
        <v>6</v>
      </c>
      <c r="I494">
        <v>6</v>
      </c>
      <c r="J494" s="65">
        <v>745000</v>
      </c>
      <c r="K494" s="65">
        <v>725000</v>
      </c>
      <c r="L494" s="65">
        <v>725000</v>
      </c>
      <c r="M494" s="56" t="inlineStr">
        <is>
          <t>Yes</t>
        </is>
      </c>
      <c r="N494" t="inlineStr">
        <is>
          <t>Original</t>
        </is>
      </c>
      <c r="O494" t="inlineStr">
        <is>
          <t>QUALIFY</t>
        </is>
      </c>
      <c r="S494" t="inlineStr">
        <is>
          <t>Full ledger row</t>
        </is>
      </c>
    </row>
    <row r="495" spans="1:19" hidden="1">
      <c r="A495" t="inlineStr">
        <is>
          <t>OPVAL-P8A-S0-T-E007</t>
        </is>
      </c>
      <c r="B495" t="inlineStr">
        <is>
          <t>OPVAL-P8A-S0-T</t>
        </is>
      </c>
      <c r="C495" t="inlineStr">
        <is>
          <t>OPVAL</t>
        </is>
      </c>
      <c r="D495" s="56">
        <v>2026</v>
      </c>
      <c r="E495" s="56" t="inlineStr">
        <is>
          <t>P8A</t>
        </is>
      </c>
      <c r="F495" t="inlineStr">
        <is>
          <t>173 Crossroad Lakes Drive</t>
        </is>
      </c>
      <c r="G495" t="inlineStr">
        <is>
          <t>Table</t>
        </is>
      </c>
      <c r="H495" s="62">
        <v>7</v>
      </c>
      <c r="I495">
        <v>7</v>
      </c>
      <c r="J495" s="65">
        <v>740000</v>
      </c>
      <c r="K495" s="65">
        <v>725000</v>
      </c>
      <c r="L495" s="65">
        <v>725000</v>
      </c>
      <c r="M495" s="56" t="inlineStr">
        <is>
          <t>Yes</t>
        </is>
      </c>
      <c r="N495" t="inlineStr">
        <is>
          <t>Original</t>
        </is>
      </c>
      <c r="O495" t="inlineStr">
        <is>
          <t>QUALIFY</t>
        </is>
      </c>
      <c r="S495" t="inlineStr">
        <is>
          <t>Full ledger row</t>
        </is>
      </c>
    </row>
    <row r="496" spans="1:19" hidden="1">
      <c r="A496" t="inlineStr">
        <is>
          <t>OPVAL-P8A-S0-T-E008</t>
        </is>
      </c>
      <c r="B496" t="inlineStr">
        <is>
          <t>OPVAL-P8A-S0-T</t>
        </is>
      </c>
      <c r="C496" t="inlineStr">
        <is>
          <t>OPVAL</t>
        </is>
      </c>
      <c r="D496" s="56">
        <v>2026</v>
      </c>
      <c r="E496" s="56" t="inlineStr">
        <is>
          <t>P8A</t>
        </is>
      </c>
      <c r="F496" t="inlineStr">
        <is>
          <t>173 Crossroad Lakes Drive</t>
        </is>
      </c>
      <c r="G496" t="inlineStr">
        <is>
          <t>Table</t>
        </is>
      </c>
      <c r="H496" s="62">
        <v>8</v>
      </c>
      <c r="I496">
        <v>8</v>
      </c>
      <c r="J496" s="65">
        <v>745000</v>
      </c>
      <c r="K496" s="65">
        <v>725000</v>
      </c>
      <c r="L496" s="65">
        <v>725000</v>
      </c>
      <c r="M496" s="56" t="inlineStr">
        <is>
          <t>Yes</t>
        </is>
      </c>
      <c r="N496" t="inlineStr">
        <is>
          <t>Original</t>
        </is>
      </c>
      <c r="O496" t="inlineStr">
        <is>
          <t>QUALIFY</t>
        </is>
      </c>
      <c r="S496" t="inlineStr">
        <is>
          <t>Full ledger row</t>
        </is>
      </c>
    </row>
    <row r="497" spans="1:19" hidden="1">
      <c r="A497" t="inlineStr">
        <is>
          <t>OPVAL-P8A-S0-T-E009</t>
        </is>
      </c>
      <c r="B497" t="inlineStr">
        <is>
          <t>OPVAL-P8A-S0-T</t>
        </is>
      </c>
      <c r="C497" t="inlineStr">
        <is>
          <t>OPVAL</t>
        </is>
      </c>
      <c r="D497" s="56">
        <v>2026</v>
      </c>
      <c r="E497" s="56" t="inlineStr">
        <is>
          <t>P8A</t>
        </is>
      </c>
      <c r="F497" t="inlineStr">
        <is>
          <t>173 Crossroad Lakes Drive</t>
        </is>
      </c>
      <c r="G497" t="inlineStr">
        <is>
          <t>Table</t>
        </is>
      </c>
      <c r="H497" s="62">
        <v>9</v>
      </c>
      <c r="I497">
        <v>9</v>
      </c>
      <c r="J497" s="65">
        <v>745000</v>
      </c>
      <c r="K497" s="65">
        <v>725000</v>
      </c>
      <c r="L497" s="65">
        <v>725000</v>
      </c>
      <c r="M497" s="56" t="inlineStr">
        <is>
          <t>Yes</t>
        </is>
      </c>
      <c r="N497" t="inlineStr">
        <is>
          <t>Original</t>
        </is>
      </c>
      <c r="O497" t="inlineStr">
        <is>
          <t>QUALIFY</t>
        </is>
      </c>
      <c r="S497" t="inlineStr">
        <is>
          <t>Full ledger row</t>
        </is>
      </c>
    </row>
    <row r="498" spans="1:19" hidden="1">
      <c r="A498" t="inlineStr">
        <is>
          <t>OPVAL-P8A-S0-T-E010</t>
        </is>
      </c>
      <c r="B498" t="inlineStr">
        <is>
          <t>OPVAL-P8A-S0-T</t>
        </is>
      </c>
      <c r="C498" t="inlineStr">
        <is>
          <t>OPVAL</t>
        </is>
      </c>
      <c r="D498" s="56">
        <v>2026</v>
      </c>
      <c r="E498" s="56" t="inlineStr">
        <is>
          <t>P8A</t>
        </is>
      </c>
      <c r="F498" t="inlineStr">
        <is>
          <t>173 Crossroad Lakes Drive</t>
        </is>
      </c>
      <c r="G498" t="inlineStr">
        <is>
          <t>Table</t>
        </is>
      </c>
      <c r="H498" s="62">
        <v>10</v>
      </c>
      <c r="I498">
        <v>10</v>
      </c>
      <c r="J498" s="65">
        <v>735000</v>
      </c>
      <c r="K498" s="65">
        <v>725000</v>
      </c>
      <c r="L498" s="65">
        <v>725000</v>
      </c>
      <c r="M498" s="56" t="inlineStr">
        <is>
          <t>Yes</t>
        </is>
      </c>
      <c r="N498" t="inlineStr">
        <is>
          <t>Original</t>
        </is>
      </c>
      <c r="O498" t="inlineStr">
        <is>
          <t>QUALIFY</t>
        </is>
      </c>
      <c r="S498" t="inlineStr">
        <is>
          <t>Full ledger row</t>
        </is>
      </c>
    </row>
    <row r="499" spans="1:19" hidden="1">
      <c r="A499" t="inlineStr">
        <is>
          <t>OPVAL-P9A-S0-T-E001</t>
        </is>
      </c>
      <c r="B499" t="inlineStr">
        <is>
          <t>OPVAL-P9A-S0-T</t>
        </is>
      </c>
      <c r="C499" t="inlineStr">
        <is>
          <t>OPVAL</t>
        </is>
      </c>
      <c r="D499" s="56">
        <v>2026</v>
      </c>
      <c r="E499" s="56" t="inlineStr">
        <is>
          <t>P9A</t>
        </is>
      </c>
      <c r="F499" t="inlineStr">
        <is>
          <t>120 Summer Tree Court</t>
        </is>
      </c>
      <c r="G499" t="inlineStr">
        <is>
          <t>Table</t>
        </is>
      </c>
      <c r="H499" s="62">
        <v>1</v>
      </c>
      <c r="I499">
        <v>1</v>
      </c>
      <c r="J499" s="65">
        <v>630000</v>
      </c>
      <c r="K499" s="65">
        <v>600000</v>
      </c>
      <c r="L499" s="65">
        <v>600000</v>
      </c>
      <c r="M499" s="56" t="inlineStr">
        <is>
          <t>Yes</t>
        </is>
      </c>
      <c r="N499" t="inlineStr">
        <is>
          <t>Original</t>
        </is>
      </c>
      <c r="O499" t="inlineStr">
        <is>
          <t>QUALIFY</t>
        </is>
      </c>
      <c r="S499" t="inlineStr">
        <is>
          <t>Full ledger row</t>
        </is>
      </c>
    </row>
    <row r="500" spans="1:19" hidden="1">
      <c r="A500" t="inlineStr">
        <is>
          <t>OPVAL-P9A-S0-T-E002</t>
        </is>
      </c>
      <c r="B500" t="inlineStr">
        <is>
          <t>OPVAL-P9A-S0-T</t>
        </is>
      </c>
      <c r="C500" t="inlineStr">
        <is>
          <t>OPVAL</t>
        </is>
      </c>
      <c r="D500" s="56">
        <v>2026</v>
      </c>
      <c r="E500" s="56" t="inlineStr">
        <is>
          <t>P9A</t>
        </is>
      </c>
      <c r="F500" t="inlineStr">
        <is>
          <t>120 Summer Tree Court</t>
        </is>
      </c>
      <c r="G500" t="inlineStr">
        <is>
          <t>Table</t>
        </is>
      </c>
      <c r="H500" s="62">
        <v>2</v>
      </c>
      <c r="I500">
        <v>2</v>
      </c>
      <c r="J500" s="65">
        <v>630000</v>
      </c>
      <c r="K500" s="65">
        <v>605000</v>
      </c>
      <c r="L500" s="65">
        <v>600000</v>
      </c>
      <c r="M500" s="56" t="inlineStr">
        <is>
          <t>Yes</t>
        </is>
      </c>
      <c r="N500" t="inlineStr">
        <is>
          <t>Original</t>
        </is>
      </c>
      <c r="O500" t="inlineStr">
        <is>
          <t>QUALIFY</t>
        </is>
      </c>
      <c r="S500" t="inlineStr">
        <is>
          <t>Full ledger row</t>
        </is>
      </c>
    </row>
    <row r="501" spans="1:19" hidden="1">
      <c r="A501" t="inlineStr">
        <is>
          <t>OPVAL-P9A-S0-T-E003</t>
        </is>
      </c>
      <c r="B501" t="inlineStr">
        <is>
          <t>OPVAL-P9A-S0-T</t>
        </is>
      </c>
      <c r="C501" t="inlineStr">
        <is>
          <t>OPVAL</t>
        </is>
      </c>
      <c r="D501" s="56">
        <v>2026</v>
      </c>
      <c r="E501" s="56" t="inlineStr">
        <is>
          <t>P9A</t>
        </is>
      </c>
      <c r="F501" t="inlineStr">
        <is>
          <t>120 Summer Tree Court</t>
        </is>
      </c>
      <c r="G501" t="inlineStr">
        <is>
          <t>Table</t>
        </is>
      </c>
      <c r="H501" s="62">
        <v>3</v>
      </c>
      <c r="I501">
        <v>3</v>
      </c>
      <c r="J501" s="65">
        <v>640000</v>
      </c>
      <c r="K501" s="65">
        <v>610000</v>
      </c>
      <c r="L501" s="65">
        <v>600000</v>
      </c>
      <c r="M501" s="56" t="inlineStr">
        <is>
          <t>Yes</t>
        </is>
      </c>
      <c r="N501" t="inlineStr">
        <is>
          <t>Original</t>
        </is>
      </c>
      <c r="O501" t="inlineStr">
        <is>
          <t>QUALIFY</t>
        </is>
      </c>
      <c r="S501" t="inlineStr">
        <is>
          <t>Full ledger row</t>
        </is>
      </c>
    </row>
    <row r="502" spans="1:19" hidden="1">
      <c r="A502" t="inlineStr">
        <is>
          <t>OPVAL-P9A-S0-T-E004</t>
        </is>
      </c>
      <c r="B502" t="inlineStr">
        <is>
          <t>OPVAL-P9A-S0-T</t>
        </is>
      </c>
      <c r="C502" t="inlineStr">
        <is>
          <t>OPVAL</t>
        </is>
      </c>
      <c r="D502" s="56">
        <v>2026</v>
      </c>
      <c r="E502" s="56" t="inlineStr">
        <is>
          <t>P9A</t>
        </is>
      </c>
      <c r="F502" t="inlineStr">
        <is>
          <t>120 Summer Tree Court</t>
        </is>
      </c>
      <c r="G502" t="inlineStr">
        <is>
          <t>Table</t>
        </is>
      </c>
      <c r="H502" s="62">
        <v>4</v>
      </c>
      <c r="I502">
        <v>4</v>
      </c>
      <c r="J502" s="65">
        <v>640000</v>
      </c>
      <c r="K502" s="65">
        <v>605000</v>
      </c>
      <c r="L502" s="65">
        <v>600000</v>
      </c>
      <c r="M502" s="56" t="inlineStr">
        <is>
          <t>Yes</t>
        </is>
      </c>
      <c r="N502" t="inlineStr">
        <is>
          <t>Original</t>
        </is>
      </c>
      <c r="O502" t="inlineStr">
        <is>
          <t>QUALIFY</t>
        </is>
      </c>
      <c r="S502" t="inlineStr">
        <is>
          <t>Full ledger row</t>
        </is>
      </c>
    </row>
    <row r="503" spans="1:19" hidden="1">
      <c r="A503" t="inlineStr">
        <is>
          <t>OPVAL-P9A-S0-T-E005</t>
        </is>
      </c>
      <c r="B503" t="inlineStr">
        <is>
          <t>OPVAL-P9A-S0-T</t>
        </is>
      </c>
      <c r="C503" t="inlineStr">
        <is>
          <t>OPVAL</t>
        </is>
      </c>
      <c r="D503" s="56">
        <v>2026</v>
      </c>
      <c r="E503" s="56" t="inlineStr">
        <is>
          <t>P9A</t>
        </is>
      </c>
      <c r="F503" t="inlineStr">
        <is>
          <t>120 Summer Tree Court</t>
        </is>
      </c>
      <c r="G503" t="inlineStr">
        <is>
          <t>Table</t>
        </is>
      </c>
      <c r="H503" s="62">
        <v>5</v>
      </c>
      <c r="I503">
        <v>5</v>
      </c>
      <c r="J503" s="65">
        <v>640000</v>
      </c>
      <c r="K503" s="65">
        <v>610000</v>
      </c>
      <c r="L503" s="65">
        <v>600000</v>
      </c>
      <c r="M503" s="56" t="inlineStr">
        <is>
          <t>Yes</t>
        </is>
      </c>
      <c r="N503" t="inlineStr">
        <is>
          <t>Original</t>
        </is>
      </c>
      <c r="O503" t="inlineStr">
        <is>
          <t>QUALIFY</t>
        </is>
      </c>
      <c r="S503" t="inlineStr">
        <is>
          <t>Full ledger row</t>
        </is>
      </c>
    </row>
    <row r="504" spans="1:19" hidden="1">
      <c r="A504" t="inlineStr">
        <is>
          <t>OPVAL-P9A-S0-T-E006</t>
        </is>
      </c>
      <c r="B504" t="inlineStr">
        <is>
          <t>OPVAL-P9A-S0-T</t>
        </is>
      </c>
      <c r="C504" t="inlineStr">
        <is>
          <t>OPVAL</t>
        </is>
      </c>
      <c r="D504" s="56">
        <v>2026</v>
      </c>
      <c r="E504" s="56" t="inlineStr">
        <is>
          <t>P9A</t>
        </is>
      </c>
      <c r="F504" t="inlineStr">
        <is>
          <t>120 Summer Tree Court</t>
        </is>
      </c>
      <c r="G504" t="inlineStr">
        <is>
          <t>Table</t>
        </is>
      </c>
      <c r="H504" s="62">
        <v>6</v>
      </c>
      <c r="I504">
        <v>6</v>
      </c>
      <c r="J504" s="65">
        <v>625000</v>
      </c>
      <c r="K504" s="65">
        <v>605000</v>
      </c>
      <c r="L504" s="65">
        <v>600000</v>
      </c>
      <c r="M504" s="56" t="inlineStr">
        <is>
          <t>Yes</t>
        </is>
      </c>
      <c r="N504" t="inlineStr">
        <is>
          <t>Original</t>
        </is>
      </c>
      <c r="O504" t="inlineStr">
        <is>
          <t>QUALIFY</t>
        </is>
      </c>
      <c r="S504" t="inlineStr">
        <is>
          <t>Full ledger row</t>
        </is>
      </c>
    </row>
    <row r="505" spans="1:19" hidden="1">
      <c r="A505" t="inlineStr">
        <is>
          <t>OPVAL-P9A-S0-T-E007</t>
        </is>
      </c>
      <c r="B505" t="inlineStr">
        <is>
          <t>OPVAL-P9A-S0-T</t>
        </is>
      </c>
      <c r="C505" t="inlineStr">
        <is>
          <t>OPVAL</t>
        </is>
      </c>
      <c r="D505" s="56">
        <v>2026</v>
      </c>
      <c r="E505" s="56" t="inlineStr">
        <is>
          <t>P9A</t>
        </is>
      </c>
      <c r="F505" t="inlineStr">
        <is>
          <t>120 Summer Tree Court</t>
        </is>
      </c>
      <c r="G505" t="inlineStr">
        <is>
          <t>Table</t>
        </is>
      </c>
      <c r="H505" s="62">
        <v>7</v>
      </c>
      <c r="I505">
        <v>7</v>
      </c>
      <c r="J505" s="65">
        <v>620000</v>
      </c>
      <c r="K505" s="65">
        <v>605000</v>
      </c>
      <c r="L505" s="65">
        <v>600000</v>
      </c>
      <c r="M505" s="56" t="inlineStr">
        <is>
          <t>Yes</t>
        </is>
      </c>
      <c r="N505" t="inlineStr">
        <is>
          <t>Original</t>
        </is>
      </c>
      <c r="O505" t="inlineStr">
        <is>
          <t>QUALIFY</t>
        </is>
      </c>
      <c r="S505" t="inlineStr">
        <is>
          <t>Full ledger row</t>
        </is>
      </c>
    </row>
    <row r="506" spans="1:19" hidden="1">
      <c r="A506" t="inlineStr">
        <is>
          <t>OPVAL-P9A-S0-T-E008</t>
        </is>
      </c>
      <c r="B506" t="inlineStr">
        <is>
          <t>OPVAL-P9A-S0-T</t>
        </is>
      </c>
      <c r="C506" t="inlineStr">
        <is>
          <t>OPVAL</t>
        </is>
      </c>
      <c r="D506" s="56">
        <v>2026</v>
      </c>
      <c r="E506" s="56" t="inlineStr">
        <is>
          <t>P9A</t>
        </is>
      </c>
      <c r="F506" t="inlineStr">
        <is>
          <t>120 Summer Tree Court</t>
        </is>
      </c>
      <c r="G506" t="inlineStr">
        <is>
          <t>Table</t>
        </is>
      </c>
      <c r="H506" s="62">
        <v>8</v>
      </c>
      <c r="I506">
        <v>8</v>
      </c>
      <c r="J506" s="65">
        <v>640000</v>
      </c>
      <c r="K506" s="65">
        <v>615000</v>
      </c>
      <c r="L506" s="65">
        <v>600000</v>
      </c>
      <c r="M506" s="56" t="inlineStr">
        <is>
          <t>Yes</t>
        </is>
      </c>
      <c r="N506" t="inlineStr">
        <is>
          <t>Original</t>
        </is>
      </c>
      <c r="O506" t="inlineStr">
        <is>
          <t>QUALIFY</t>
        </is>
      </c>
      <c r="S506" t="inlineStr">
        <is>
          <t>Full ledger row</t>
        </is>
      </c>
    </row>
    <row r="507" spans="1:19" hidden="1">
      <c r="A507" t="inlineStr">
        <is>
          <t>OPVAL-P9A-S0-T-E009</t>
        </is>
      </c>
      <c r="B507" t="inlineStr">
        <is>
          <t>OPVAL-P9A-S0-T</t>
        </is>
      </c>
      <c r="C507" t="inlineStr">
        <is>
          <t>OPVAL</t>
        </is>
      </c>
      <c r="D507" s="56">
        <v>2026</v>
      </c>
      <c r="E507" s="56" t="inlineStr">
        <is>
          <t>P9A</t>
        </is>
      </c>
      <c r="F507" t="inlineStr">
        <is>
          <t>120 Summer Tree Court</t>
        </is>
      </c>
      <c r="G507" t="inlineStr">
        <is>
          <t>Table</t>
        </is>
      </c>
      <c r="H507" s="62">
        <v>9</v>
      </c>
      <c r="I507">
        <v>9</v>
      </c>
      <c r="J507" s="65">
        <v>635000</v>
      </c>
      <c r="K507" s="65">
        <v>610000</v>
      </c>
      <c r="L507" s="65">
        <v>600000</v>
      </c>
      <c r="M507" s="56" t="inlineStr">
        <is>
          <t>Yes</t>
        </is>
      </c>
      <c r="N507" t="inlineStr">
        <is>
          <t>Original</t>
        </is>
      </c>
      <c r="O507" t="inlineStr">
        <is>
          <t>QUALIFY</t>
        </is>
      </c>
      <c r="S507" t="inlineStr">
        <is>
          <t>Full ledger row</t>
        </is>
      </c>
    </row>
    <row r="508" spans="1:19" hidden="1">
      <c r="A508" t="inlineStr">
        <is>
          <t>OPVAL-P9A-S0-T-E010</t>
        </is>
      </c>
      <c r="B508" t="inlineStr">
        <is>
          <t>OPVAL-P9A-S0-T</t>
        </is>
      </c>
      <c r="C508" t="inlineStr">
        <is>
          <t>OPVAL</t>
        </is>
      </c>
      <c r="D508" s="56">
        <v>2026</v>
      </c>
      <c r="E508" s="56" t="inlineStr">
        <is>
          <t>P9A</t>
        </is>
      </c>
      <c r="F508" t="inlineStr">
        <is>
          <t>120 Summer Tree Court</t>
        </is>
      </c>
      <c r="G508" t="inlineStr">
        <is>
          <t>Table</t>
        </is>
      </c>
      <c r="H508" s="62">
        <v>10</v>
      </c>
      <c r="I508">
        <v>10</v>
      </c>
      <c r="J508" s="65">
        <v>645000</v>
      </c>
      <c r="K508" s="65">
        <v>610000</v>
      </c>
      <c r="L508" s="65">
        <v>600000</v>
      </c>
      <c r="M508" s="56" t="inlineStr">
        <is>
          <t>Yes</t>
        </is>
      </c>
      <c r="N508" t="inlineStr">
        <is>
          <t>Original</t>
        </is>
      </c>
      <c r="O508" t="inlineStr">
        <is>
          <t>QUALIFY</t>
        </is>
      </c>
      <c r="S508" t="inlineStr">
        <is>
          <t>Full ledger row</t>
        </is>
      </c>
    </row>
    <row r="509" spans="1:19" hidden="1">
      <c r="A509" t="inlineStr">
        <is>
          <t>PROSP-P1P-S0-T-E001</t>
        </is>
      </c>
      <c r="B509" t="inlineStr">
        <is>
          <t>PROSP-P1P-S0-T</t>
        </is>
      </c>
      <c r="C509" t="inlineStr">
        <is>
          <t>PROSP</t>
        </is>
      </c>
      <c r="D509" s="56">
        <v>2026</v>
      </c>
      <c r="E509" s="56" t="inlineStr">
        <is>
          <t>P1P</t>
        </is>
      </c>
      <c r="F509" t="inlineStr">
        <is>
          <t>144 Crosstide Circle</t>
        </is>
      </c>
      <c r="G509" t="inlineStr">
        <is>
          <t>Table</t>
        </is>
      </c>
      <c r="H509" s="62">
        <v>1</v>
      </c>
      <c r="I509">
        <v>1</v>
      </c>
      <c r="J509" s="65">
        <v>710000</v>
      </c>
      <c r="K509" s="65">
        <v>712500</v>
      </c>
      <c r="L509" s="65">
        <v>720000</v>
      </c>
      <c r="M509" s="56" t="inlineStr">
        <is>
          <t>Yes</t>
        </is>
      </c>
      <c r="N509" t="inlineStr">
        <is>
          <t>Original</t>
        </is>
      </c>
      <c r="O509" t="inlineStr">
        <is>
          <t>QUALIFY</t>
        </is>
      </c>
      <c r="R509" t="inlineStr">
        <is>
          <t>QC reviewed; factual reconciliation to frozen structured table; Limited sufficiency not a QC defect. Outcome Y withheld.</t>
        </is>
      </c>
      <c r="S509" t="inlineStr">
        <is>
          <t>Full ER-native record</t>
        </is>
      </c>
    </row>
    <row r="510" spans="1:19" hidden="1">
      <c r="A510" t="inlineStr">
        <is>
          <t>PROSP-P1P-S0-T-E002</t>
        </is>
      </c>
      <c r="B510" t="inlineStr">
        <is>
          <t>PROSP-P1P-S0-T</t>
        </is>
      </c>
      <c r="C510" t="inlineStr">
        <is>
          <t>PROSP</t>
        </is>
      </c>
      <c r="D510" s="56">
        <v>2026</v>
      </c>
      <c r="E510" s="56" t="inlineStr">
        <is>
          <t>P1P</t>
        </is>
      </c>
      <c r="F510" t="inlineStr">
        <is>
          <t>144 Crosstide Circle</t>
        </is>
      </c>
      <c r="G510" t="inlineStr">
        <is>
          <t>Table</t>
        </is>
      </c>
      <c r="H510" s="62">
        <v>2</v>
      </c>
      <c r="I510">
        <v>2</v>
      </c>
      <c r="J510" s="65">
        <v>710000</v>
      </c>
      <c r="K510" s="65">
        <v>715000</v>
      </c>
      <c r="L510" s="65">
        <v>720000</v>
      </c>
      <c r="M510" s="56" t="inlineStr">
        <is>
          <t>Yes</t>
        </is>
      </c>
      <c r="N510" t="inlineStr">
        <is>
          <t>Original</t>
        </is>
      </c>
      <c r="O510" t="inlineStr">
        <is>
          <t>QUALIFY</t>
        </is>
      </c>
      <c r="R510" t="inlineStr">
        <is>
          <t>QC reviewed; factual reconciliation to frozen structured table; Limited sufficiency not a QC defect. Outcome Y withheld.</t>
        </is>
      </c>
      <c r="S510" t="inlineStr">
        <is>
          <t>Full ER-native record</t>
        </is>
      </c>
    </row>
    <row r="511" spans="1:19" hidden="1">
      <c r="A511" t="inlineStr">
        <is>
          <t>PROSP-P1P-S0-T-E003</t>
        </is>
      </c>
      <c r="B511" t="inlineStr">
        <is>
          <t>PROSP-P1P-S0-T</t>
        </is>
      </c>
      <c r="C511" t="inlineStr">
        <is>
          <t>PROSP</t>
        </is>
      </c>
      <c r="D511" s="56">
        <v>2026</v>
      </c>
      <c r="E511" s="56" t="inlineStr">
        <is>
          <t>P1P</t>
        </is>
      </c>
      <c r="F511" t="inlineStr">
        <is>
          <t>144 Crosstide Circle</t>
        </is>
      </c>
      <c r="G511" t="inlineStr">
        <is>
          <t>Table</t>
        </is>
      </c>
      <c r="H511" s="62">
        <v>3</v>
      </c>
      <c r="I511">
        <v>3</v>
      </c>
      <c r="J511" s="65">
        <v>715000</v>
      </c>
      <c r="K511" s="65">
        <v>715000</v>
      </c>
      <c r="L511" s="65">
        <v>720000</v>
      </c>
      <c r="M511" s="56" t="inlineStr">
        <is>
          <t>Yes</t>
        </is>
      </c>
      <c r="N511" t="inlineStr">
        <is>
          <t>Original</t>
        </is>
      </c>
      <c r="O511" t="inlineStr">
        <is>
          <t>QUALIFY</t>
        </is>
      </c>
      <c r="R511" t="inlineStr">
        <is>
          <t>QC reviewed; factual reconciliation to frozen structured table; Limited sufficiency not a QC defect. Outcome Y withheld.</t>
        </is>
      </c>
      <c r="S511" t="inlineStr">
        <is>
          <t>Full ER-native record</t>
        </is>
      </c>
    </row>
    <row r="512" spans="1:19" hidden="1">
      <c r="A512" t="inlineStr">
        <is>
          <t>PROSP-P1P-S0-T-E004</t>
        </is>
      </c>
      <c r="B512" t="inlineStr">
        <is>
          <t>PROSP-P1P-S0-T</t>
        </is>
      </c>
      <c r="C512" t="inlineStr">
        <is>
          <t>PROSP</t>
        </is>
      </c>
      <c r="D512" s="56">
        <v>2026</v>
      </c>
      <c r="E512" s="56" t="inlineStr">
        <is>
          <t>P1P</t>
        </is>
      </c>
      <c r="F512" t="inlineStr">
        <is>
          <t>144 Crosstide Circle</t>
        </is>
      </c>
      <c r="G512" t="inlineStr">
        <is>
          <t>Table</t>
        </is>
      </c>
      <c r="H512" s="62">
        <v>4</v>
      </c>
      <c r="I512">
        <v>4</v>
      </c>
      <c r="J512" s="65">
        <v>710000</v>
      </c>
      <c r="K512" s="65">
        <v>715000</v>
      </c>
      <c r="L512" s="65">
        <v>720000</v>
      </c>
      <c r="M512" s="56" t="inlineStr">
        <is>
          <t>Yes</t>
        </is>
      </c>
      <c r="N512" t="inlineStr">
        <is>
          <t>Original</t>
        </is>
      </c>
      <c r="O512" t="inlineStr">
        <is>
          <t>QUALIFY</t>
        </is>
      </c>
      <c r="R512" t="inlineStr">
        <is>
          <t>QC reviewed; factual reconciliation to frozen structured table; Limited sufficiency not a QC defect. Outcome Y withheld.</t>
        </is>
      </c>
      <c r="S512" t="inlineStr">
        <is>
          <t>Full ER-native record</t>
        </is>
      </c>
    </row>
    <row r="513" spans="1:19" hidden="1">
      <c r="A513" t="inlineStr">
        <is>
          <t>PROSP-P1P-S0-T-E005</t>
        </is>
      </c>
      <c r="B513" t="inlineStr">
        <is>
          <t>PROSP-P1P-S0-T</t>
        </is>
      </c>
      <c r="C513" t="inlineStr">
        <is>
          <t>PROSP</t>
        </is>
      </c>
      <c r="D513" s="56">
        <v>2026</v>
      </c>
      <c r="E513" s="56" t="inlineStr">
        <is>
          <t>P1P</t>
        </is>
      </c>
      <c r="F513" t="inlineStr">
        <is>
          <t>144 Crosstide Circle</t>
        </is>
      </c>
      <c r="G513" t="inlineStr">
        <is>
          <t>Table</t>
        </is>
      </c>
      <c r="H513" s="62">
        <v>5</v>
      </c>
      <c r="I513">
        <v>5</v>
      </c>
      <c r="J513" s="65">
        <v>715000</v>
      </c>
      <c r="K513" s="65">
        <v>710000</v>
      </c>
      <c r="L513" s="65">
        <v>720000</v>
      </c>
      <c r="M513" s="56" t="inlineStr">
        <is>
          <t>Yes</t>
        </is>
      </c>
      <c r="N513" t="inlineStr">
        <is>
          <t>Original</t>
        </is>
      </c>
      <c r="O513" t="inlineStr">
        <is>
          <t>QUALIFY</t>
        </is>
      </c>
      <c r="R513" t="inlineStr">
        <is>
          <t>QC reviewed; factual reconciliation to frozen structured table; Limited sufficiency not a QC defect. Outcome Y withheld.</t>
        </is>
      </c>
      <c r="S513" t="inlineStr">
        <is>
          <t>Full ER-native record</t>
        </is>
      </c>
    </row>
    <row r="514" spans="1:19" hidden="1">
      <c r="A514" t="inlineStr">
        <is>
          <t>PROSP-P1P-S0-T-E006</t>
        </is>
      </c>
      <c r="B514" t="inlineStr">
        <is>
          <t>PROSP-P1P-S0-T</t>
        </is>
      </c>
      <c r="C514" t="inlineStr">
        <is>
          <t>PROSP</t>
        </is>
      </c>
      <c r="D514" s="56">
        <v>2026</v>
      </c>
      <c r="E514" s="56" t="inlineStr">
        <is>
          <t>P1P</t>
        </is>
      </c>
      <c r="F514" t="inlineStr">
        <is>
          <t>144 Crosstide Circle</t>
        </is>
      </c>
      <c r="G514" t="inlineStr">
        <is>
          <t>Table</t>
        </is>
      </c>
      <c r="H514" s="62">
        <v>6</v>
      </c>
      <c r="I514">
        <v>6</v>
      </c>
      <c r="J514" s="65">
        <v>720000</v>
      </c>
      <c r="K514" s="65">
        <v>715000</v>
      </c>
      <c r="L514" s="65">
        <v>720000</v>
      </c>
      <c r="M514" s="56" t="inlineStr">
        <is>
          <t>Yes</t>
        </is>
      </c>
      <c r="N514" t="inlineStr">
        <is>
          <t>Original</t>
        </is>
      </c>
      <c r="O514" t="inlineStr">
        <is>
          <t>QUALIFY</t>
        </is>
      </c>
      <c r="R514" t="inlineStr">
        <is>
          <t>QC reviewed; factual reconciliation to frozen structured table; Limited sufficiency not a QC defect. Outcome Y withheld.</t>
        </is>
      </c>
      <c r="S514" t="inlineStr">
        <is>
          <t>Full ER-native record</t>
        </is>
      </c>
    </row>
    <row r="515" spans="1:19" hidden="1">
      <c r="A515" t="inlineStr">
        <is>
          <t>PROSP-P1P-S0-T-E007</t>
        </is>
      </c>
      <c r="B515" t="inlineStr">
        <is>
          <t>PROSP-P1P-S0-T</t>
        </is>
      </c>
      <c r="C515" t="inlineStr">
        <is>
          <t>PROSP</t>
        </is>
      </c>
      <c r="D515" s="56">
        <v>2026</v>
      </c>
      <c r="E515" s="56" t="inlineStr">
        <is>
          <t>P1P</t>
        </is>
      </c>
      <c r="F515" t="inlineStr">
        <is>
          <t>144 Crosstide Circle</t>
        </is>
      </c>
      <c r="G515" t="inlineStr">
        <is>
          <t>Table</t>
        </is>
      </c>
      <c r="H515" s="62">
        <v>7</v>
      </c>
      <c r="I515">
        <v>7</v>
      </c>
      <c r="J515" s="65">
        <v>715000</v>
      </c>
      <c r="K515" s="65">
        <v>715000</v>
      </c>
      <c r="L515" s="65">
        <v>720000</v>
      </c>
      <c r="M515" s="56" t="inlineStr">
        <is>
          <t>Yes</t>
        </is>
      </c>
      <c r="N515" t="inlineStr">
        <is>
          <t>Original</t>
        </is>
      </c>
      <c r="O515" t="inlineStr">
        <is>
          <t>QUALIFY</t>
        </is>
      </c>
      <c r="R515" t="inlineStr">
        <is>
          <t>QC reviewed; factual reconciliation to frozen structured table; Limited sufficiency not a QC defect. Outcome Y withheld.</t>
        </is>
      </c>
      <c r="S515" t="inlineStr">
        <is>
          <t>Full ER-native record</t>
        </is>
      </c>
    </row>
    <row r="516" spans="1:19" hidden="1">
      <c r="A516" t="inlineStr">
        <is>
          <t>PROSP-P1P-S0-T-E008</t>
        </is>
      </c>
      <c r="B516" t="inlineStr">
        <is>
          <t>PROSP-P1P-S0-T</t>
        </is>
      </c>
      <c r="C516" t="inlineStr">
        <is>
          <t>PROSP</t>
        </is>
      </c>
      <c r="D516" s="56">
        <v>2026</v>
      </c>
      <c r="E516" s="56" t="inlineStr">
        <is>
          <t>P1P</t>
        </is>
      </c>
      <c r="F516" t="inlineStr">
        <is>
          <t>144 Crosstide Circle</t>
        </is>
      </c>
      <c r="G516" t="inlineStr">
        <is>
          <t>Table</t>
        </is>
      </c>
      <c r="H516" s="62">
        <v>8</v>
      </c>
      <c r="I516">
        <v>8</v>
      </c>
      <c r="J516" s="65">
        <v>730000</v>
      </c>
      <c r="K516" s="65">
        <v>720000</v>
      </c>
      <c r="L516" s="65">
        <v>720000</v>
      </c>
      <c r="M516" s="56" t="inlineStr">
        <is>
          <t>Yes</t>
        </is>
      </c>
      <c r="N516" t="inlineStr">
        <is>
          <t>Original</t>
        </is>
      </c>
      <c r="O516" t="inlineStr">
        <is>
          <t>QUALIFY</t>
        </is>
      </c>
      <c r="R516" t="inlineStr">
        <is>
          <t>QC reviewed; factual reconciliation to frozen structured table; Limited sufficiency not a QC defect. Outcome Y withheld.</t>
        </is>
      </c>
      <c r="S516" t="inlineStr">
        <is>
          <t>Full ER-native record</t>
        </is>
      </c>
    </row>
    <row r="517" spans="1:19" hidden="1">
      <c r="A517" t="inlineStr">
        <is>
          <t>PROSP-P1P-S0-T-E009</t>
        </is>
      </c>
      <c r="B517" t="inlineStr">
        <is>
          <t>PROSP-P1P-S0-T</t>
        </is>
      </c>
      <c r="C517" t="inlineStr">
        <is>
          <t>PROSP</t>
        </is>
      </c>
      <c r="D517" s="56">
        <v>2026</v>
      </c>
      <c r="E517" s="56" t="inlineStr">
        <is>
          <t>P1P</t>
        </is>
      </c>
      <c r="F517" t="inlineStr">
        <is>
          <t>144 Crosstide Circle</t>
        </is>
      </c>
      <c r="G517" t="inlineStr">
        <is>
          <t>Table</t>
        </is>
      </c>
      <c r="H517" s="62">
        <v>9</v>
      </c>
      <c r="I517">
        <v>9</v>
      </c>
      <c r="J517" s="65">
        <v>715000</v>
      </c>
      <c r="K517" s="65">
        <v>715000</v>
      </c>
      <c r="L517" s="65">
        <v>720000</v>
      </c>
      <c r="M517" s="56" t="inlineStr">
        <is>
          <t>Yes</t>
        </is>
      </c>
      <c r="N517" t="inlineStr">
        <is>
          <t>Original</t>
        </is>
      </c>
      <c r="O517" t="inlineStr">
        <is>
          <t>QUALIFY</t>
        </is>
      </c>
      <c r="R517" t="inlineStr">
        <is>
          <t>QC reviewed; factual reconciliation to frozen structured table; Limited sufficiency not a QC defect. Outcome Y withheld.</t>
        </is>
      </c>
      <c r="S517" t="inlineStr">
        <is>
          <t>Full ER-native record</t>
        </is>
      </c>
    </row>
    <row r="518" spans="1:19" hidden="1">
      <c r="A518" t="inlineStr">
        <is>
          <t>PROSP-P1P-S0-T-E010</t>
        </is>
      </c>
      <c r="B518" t="inlineStr">
        <is>
          <t>PROSP-P1P-S0-T</t>
        </is>
      </c>
      <c r="C518" t="inlineStr">
        <is>
          <t>PROSP</t>
        </is>
      </c>
      <c r="D518" s="56">
        <v>2026</v>
      </c>
      <c r="E518" s="56" t="inlineStr">
        <is>
          <t>P1P</t>
        </is>
      </c>
      <c r="F518" t="inlineStr">
        <is>
          <t>144 Crosstide Circle</t>
        </is>
      </c>
      <c r="G518" t="inlineStr">
        <is>
          <t>Table</t>
        </is>
      </c>
      <c r="H518" s="62">
        <v>10</v>
      </c>
      <c r="I518">
        <v>10</v>
      </c>
      <c r="J518" s="65">
        <v>715000</v>
      </c>
      <c r="K518" s="65">
        <v>710000</v>
      </c>
      <c r="L518" s="65">
        <v>720000</v>
      </c>
      <c r="M518" s="56" t="inlineStr">
        <is>
          <t>Yes</t>
        </is>
      </c>
      <c r="N518" t="inlineStr">
        <is>
          <t>Original</t>
        </is>
      </c>
      <c r="O518" t="inlineStr">
        <is>
          <t>QUALIFY</t>
        </is>
      </c>
      <c r="R518" t="inlineStr">
        <is>
          <t>QC reviewed; factual reconciliation to frozen structured table; Limited sufficiency not a QC defect. Outcome Y withheld.</t>
        </is>
      </c>
      <c r="S518" t="inlineStr">
        <is>
          <t>Full ER-native record</t>
        </is>
      </c>
    </row>
  </sheetData>
  <pageMargins left="0.7" right="0.7" top="0.75" bottom="0.75" header="0.3" footer="0.3"/>
  <tableParts count="1">
    <tablePart r:id="rId1"/>
  </tableParts>
</worksheet>
</file>