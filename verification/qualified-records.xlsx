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fcpp-my.sharepoint.com/personal/sandy_firstcoastpremier_com/Documents/$ 1A DJE Consolidated/03_DJE_Evidence_and_Methods/DJE_Repository/verification/"/>
    </mc:Choice>
  </mc:AlternateContent>
  <xr:revisionPtr revIDLastSave="0" documentId="115_{93388009-4E5B-4B46-A1AF-FC5B0523E3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0 Qualified Executions" sheetId="2" r:id="rId1"/>
    <sheet name="S0 Qualified Verification" sheetId="1" r:id="rId2"/>
  </sheets>
  <definedNames>
    <definedName name="_xlnm._FilterDatabase" localSheetId="1" hidden="1">'S0 Qualified Verification'!$A$13:$L$59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1" l="1"/>
  <c r="C65" i="1"/>
  <c r="H60" i="1"/>
  <c r="G60" i="1"/>
  <c r="F60" i="1"/>
  <c r="E60" i="1"/>
  <c r="H59" i="1"/>
  <c r="G59" i="1"/>
  <c r="F59" i="1"/>
  <c r="E59" i="1"/>
  <c r="H58" i="1"/>
  <c r="G58" i="1"/>
  <c r="J58" i="1" s="1"/>
  <c r="F58" i="1"/>
  <c r="E58" i="1"/>
  <c r="H57" i="1"/>
  <c r="G57" i="1"/>
  <c r="F57" i="1"/>
  <c r="E57" i="1"/>
  <c r="H56" i="1"/>
  <c r="G56" i="1"/>
  <c r="F56" i="1"/>
  <c r="E56" i="1"/>
  <c r="H55" i="1"/>
  <c r="G55" i="1"/>
  <c r="F55" i="1"/>
  <c r="E55" i="1"/>
  <c r="H54" i="1"/>
  <c r="G54" i="1"/>
  <c r="F54" i="1"/>
  <c r="E54" i="1"/>
  <c r="H53" i="1"/>
  <c r="G53" i="1"/>
  <c r="F53" i="1"/>
  <c r="E53" i="1"/>
  <c r="H52" i="1"/>
  <c r="G52" i="1"/>
  <c r="F52" i="1"/>
  <c r="E52" i="1"/>
  <c r="H51" i="1"/>
  <c r="G51" i="1"/>
  <c r="F51" i="1"/>
  <c r="E51" i="1"/>
  <c r="H50" i="1"/>
  <c r="G50" i="1"/>
  <c r="F50" i="1"/>
  <c r="E50" i="1"/>
  <c r="H49" i="1"/>
  <c r="G49" i="1"/>
  <c r="F49" i="1"/>
  <c r="E49" i="1"/>
  <c r="H48" i="1"/>
  <c r="G48" i="1"/>
  <c r="F48" i="1"/>
  <c r="E48" i="1"/>
  <c r="H47" i="1"/>
  <c r="G47" i="1"/>
  <c r="F47" i="1"/>
  <c r="E47" i="1"/>
  <c r="H46" i="1"/>
  <c r="G46" i="1"/>
  <c r="F46" i="1"/>
  <c r="E46" i="1"/>
  <c r="H45" i="1"/>
  <c r="G45" i="1"/>
  <c r="F45" i="1"/>
  <c r="E45" i="1"/>
  <c r="H44" i="1"/>
  <c r="G44" i="1"/>
  <c r="F44" i="1"/>
  <c r="E44" i="1"/>
  <c r="H43" i="1"/>
  <c r="G43" i="1"/>
  <c r="F43" i="1"/>
  <c r="E43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6" i="1"/>
  <c r="G16" i="1"/>
  <c r="F16" i="1"/>
  <c r="E16" i="1"/>
  <c r="H15" i="1"/>
  <c r="G15" i="1"/>
  <c r="F15" i="1"/>
  <c r="E15" i="1"/>
  <c r="H14" i="1"/>
  <c r="G14" i="1"/>
  <c r="F14" i="1"/>
  <c r="E14" i="1"/>
  <c r="H13" i="1"/>
  <c r="G13" i="1"/>
  <c r="F13" i="1"/>
  <c r="E13" i="1"/>
  <c r="H12" i="1"/>
  <c r="G12" i="1"/>
  <c r="J12" i="1" s="1"/>
  <c r="F12" i="1"/>
  <c r="E12" i="1"/>
  <c r="C8" i="1"/>
  <c r="J7" i="1"/>
  <c r="C7" i="1"/>
  <c r="J6" i="1"/>
  <c r="C6" i="1"/>
  <c r="C5" i="1"/>
  <c r="J13" i="1" l="1"/>
  <c r="J22" i="1"/>
  <c r="J43" i="1"/>
  <c r="J37" i="1"/>
  <c r="J34" i="1"/>
  <c r="J31" i="1"/>
  <c r="J30" i="1"/>
  <c r="J26" i="1"/>
  <c r="J17" i="1"/>
  <c r="J60" i="1"/>
  <c r="J59" i="1"/>
  <c r="J57" i="1"/>
  <c r="J56" i="1"/>
  <c r="J55" i="1"/>
  <c r="J54" i="1"/>
  <c r="J53" i="1"/>
  <c r="J52" i="1"/>
  <c r="H66" i="1" s="1"/>
  <c r="J66" i="1"/>
  <c r="J51" i="1"/>
  <c r="J50" i="1"/>
  <c r="J49" i="1"/>
  <c r="J48" i="1"/>
  <c r="J47" i="1"/>
  <c r="J46" i="1"/>
  <c r="J45" i="1"/>
  <c r="J44" i="1"/>
  <c r="J65" i="1"/>
  <c r="J39" i="1"/>
  <c r="J38" i="1"/>
  <c r="J36" i="1"/>
  <c r="J35" i="1"/>
  <c r="J33" i="1"/>
  <c r="J32" i="1"/>
  <c r="H8" i="1" s="1"/>
  <c r="J8" i="1"/>
  <c r="J29" i="1"/>
  <c r="J28" i="1"/>
  <c r="J27" i="1"/>
  <c r="J25" i="1"/>
  <c r="J24" i="1"/>
  <c r="J23" i="1"/>
  <c r="J21" i="1"/>
  <c r="H6" i="1" s="1"/>
  <c r="J20" i="1"/>
  <c r="J19" i="1"/>
  <c r="J18" i="1"/>
  <c r="J5" i="1"/>
  <c r="J16" i="1"/>
  <c r="J15" i="1"/>
  <c r="J14" i="1"/>
  <c r="K43" i="1"/>
  <c r="I43" i="1"/>
  <c r="K30" i="1"/>
  <c r="I30" i="1"/>
  <c r="I60" i="1"/>
  <c r="K60" i="1"/>
  <c r="K59" i="1"/>
  <c r="I59" i="1"/>
  <c r="K58" i="1"/>
  <c r="I58" i="1"/>
  <c r="K57" i="1"/>
  <c r="I57" i="1"/>
  <c r="K56" i="1"/>
  <c r="I56" i="1"/>
  <c r="K55" i="1"/>
  <c r="I55" i="1"/>
  <c r="I54" i="1"/>
  <c r="K54" i="1"/>
  <c r="K53" i="1"/>
  <c r="I53" i="1"/>
  <c r="K52" i="1"/>
  <c r="I66" i="1" s="1"/>
  <c r="I52" i="1"/>
  <c r="I51" i="1"/>
  <c r="K51" i="1"/>
  <c r="K50" i="1"/>
  <c r="I50" i="1"/>
  <c r="K49" i="1"/>
  <c r="I49" i="1"/>
  <c r="I48" i="1"/>
  <c r="K48" i="1"/>
  <c r="K47" i="1"/>
  <c r="I47" i="1"/>
  <c r="I46" i="1"/>
  <c r="K46" i="1"/>
  <c r="K45" i="1"/>
  <c r="I45" i="1"/>
  <c r="K44" i="1"/>
  <c r="I44" i="1"/>
  <c r="K39" i="1"/>
  <c r="I39" i="1"/>
  <c r="I38" i="1"/>
  <c r="K38" i="1"/>
  <c r="K37" i="1"/>
  <c r="I37" i="1"/>
  <c r="K36" i="1"/>
  <c r="I36" i="1"/>
  <c r="K35" i="1"/>
  <c r="I35" i="1"/>
  <c r="I34" i="1"/>
  <c r="K34" i="1"/>
  <c r="K33" i="1"/>
  <c r="I33" i="1"/>
  <c r="K32" i="1"/>
  <c r="I32" i="1"/>
  <c r="K31" i="1"/>
  <c r="I31" i="1"/>
  <c r="I29" i="1"/>
  <c r="K29" i="1"/>
  <c r="I28" i="1"/>
  <c r="K28" i="1"/>
  <c r="I27" i="1"/>
  <c r="K27" i="1"/>
  <c r="K26" i="1"/>
  <c r="I26" i="1"/>
  <c r="I25" i="1"/>
  <c r="K25" i="1"/>
  <c r="I24" i="1"/>
  <c r="K24" i="1"/>
  <c r="K23" i="1"/>
  <c r="I23" i="1"/>
  <c r="K22" i="1"/>
  <c r="I22" i="1"/>
  <c r="K21" i="1"/>
  <c r="I6" i="1" s="1"/>
  <c r="I21" i="1"/>
  <c r="K20" i="1"/>
  <c r="I20" i="1"/>
  <c r="I19" i="1"/>
  <c r="K19" i="1"/>
  <c r="I18" i="1"/>
  <c r="K18" i="1"/>
  <c r="K17" i="1"/>
  <c r="I17" i="1"/>
  <c r="K16" i="1"/>
  <c r="I16" i="1"/>
  <c r="K15" i="1"/>
  <c r="I15" i="1"/>
  <c r="K14" i="1"/>
  <c r="I14" i="1"/>
  <c r="I13" i="1"/>
  <c r="K13" i="1"/>
  <c r="K12" i="1"/>
  <c r="I5" i="1" s="1"/>
  <c r="I12" i="1"/>
  <c r="G65" i="1" l="1"/>
  <c r="H5" i="1"/>
  <c r="F65" i="1"/>
  <c r="H7" i="1"/>
  <c r="H65" i="1"/>
  <c r="I8" i="1"/>
  <c r="I65" i="1"/>
  <c r="D65" i="1"/>
  <c r="E65" i="1"/>
  <c r="D66" i="1"/>
  <c r="E66" i="1"/>
  <c r="F66" i="1"/>
  <c r="G66" i="1"/>
  <c r="D8" i="1"/>
  <c r="E8" i="1"/>
  <c r="F8" i="1"/>
  <c r="G8" i="1"/>
  <c r="D7" i="1"/>
  <c r="E7" i="1"/>
  <c r="F7" i="1"/>
  <c r="G7" i="1"/>
  <c r="D6" i="1"/>
  <c r="E6" i="1"/>
  <c r="F6" i="1"/>
  <c r="G6" i="1"/>
  <c r="D5" i="1"/>
  <c r="E5" i="1"/>
  <c r="F5" i="1"/>
  <c r="G5" i="1"/>
  <c r="I7" i="1"/>
</calcChain>
</file>

<file path=xl/sharedStrings.xml><?xml version="1.0" encoding="utf-8"?>
<sst xmlns="http://schemas.openxmlformats.org/spreadsheetml/2006/main" count="3063" uniqueCount="583">
  <si>
    <t>Population</t>
  </si>
  <si>
    <t>Representation</t>
  </si>
  <si>
    <t>Cells</t>
  </si>
  <si>
    <t>Mean APE(F)</t>
  </si>
  <si>
    <t>Median APE(F)</t>
  </si>
  <si>
    <t>Max APE(F)</t>
  </si>
  <si>
    <t>APE ≤ 5%</t>
  </si>
  <si>
    <t>Mean CV(F)</t>
  </si>
  <si>
    <t>Mean signed error</t>
  </si>
  <si>
    <t>Qualifying runs</t>
  </si>
  <si>
    <t>LOOCV0</t>
  </si>
  <si>
    <t>No Table</t>
  </si>
  <si>
    <t>Table</t>
  </si>
  <si>
    <t>LOOCV1</t>
  </si>
  <si>
    <t>OPVAL</t>
  </si>
  <si>
    <t>PROSP</t>
  </si>
  <si>
    <t>Cell ID</t>
  </si>
  <si>
    <t>Property ID</t>
  </si>
  <si>
    <t>Runs (n)</t>
  </si>
  <si>
    <t>Mean F</t>
  </si>
  <si>
    <t>SD(F)</t>
  </si>
  <si>
    <t>Actual Y</t>
  </si>
  <si>
    <t>APE(F)</t>
  </si>
  <si>
    <t>CV(F)</t>
  </si>
  <si>
    <t>Signed error</t>
  </si>
  <si>
    <t>Property address</t>
  </si>
  <si>
    <t>LOOCV0-P1-S0-NT</t>
  </si>
  <si>
    <t>P1</t>
  </si>
  <si>
    <t>109 Patrick Mill Circle</t>
  </si>
  <si>
    <t>LOOCV0-P2-S0-NT</t>
  </si>
  <si>
    <t>P2</t>
  </si>
  <si>
    <t>265 Patrick Mill Circle</t>
  </si>
  <si>
    <t>LOOCV0-P3-S0-NT</t>
  </si>
  <si>
    <t>P3</t>
  </si>
  <si>
    <t>149 Seaside Circle</t>
  </si>
  <si>
    <t>LOOCV0-P4-S0-NT</t>
  </si>
  <si>
    <t>P4</t>
  </si>
  <si>
    <t>216 Crosstern Court</t>
  </si>
  <si>
    <t>LOOCV0-P5-S0-NT</t>
  </si>
  <si>
    <t>P5</t>
  </si>
  <si>
    <t>161 Crossroad Lakes Drive</t>
  </si>
  <si>
    <t>LOOCV0-P6-S0-NT</t>
  </si>
  <si>
    <t>P6</t>
  </si>
  <si>
    <t>144 Crosstide Circle</t>
  </si>
  <si>
    <t>LOOCV0-P7-S0-NT</t>
  </si>
  <si>
    <t>P7</t>
  </si>
  <si>
    <t>145 Crossroad Lakes Drive</t>
  </si>
  <si>
    <t>LOOCV0-P8-S0-NT</t>
  </si>
  <si>
    <t>P8</t>
  </si>
  <si>
    <t>140 Crosscove Circle</t>
  </si>
  <si>
    <t>LOOCV0-P9-S0-NT</t>
  </si>
  <si>
    <t>P9</t>
  </si>
  <si>
    <t>104 Seaside Circle</t>
  </si>
  <si>
    <t>LOOCV0-P1-S0-T</t>
  </si>
  <si>
    <t>LOOCV0-P2-S0-T</t>
  </si>
  <si>
    <t>LOOCV0-P3-S0-T</t>
  </si>
  <si>
    <t>LOOCV0-P4-S0-T</t>
  </si>
  <si>
    <t>LOOCV0-P5-S0-T</t>
  </si>
  <si>
    <t>LOOCV0-P6-S0-T</t>
  </si>
  <si>
    <t>LOOCV0-P7-S0-T</t>
  </si>
  <si>
    <t>LOOCV0-P8-S0-T</t>
  </si>
  <si>
    <t>LOOCV0-P9-S0-T</t>
  </si>
  <si>
    <t>LOOCV1-P1-S0-T</t>
  </si>
  <si>
    <t>LOOCV1-P1A-S0-T</t>
  </si>
  <si>
    <t>P1A</t>
  </si>
  <si>
    <t>132 Patrick Mill Circle</t>
  </si>
  <si>
    <t>LOOCV1-P2-S0-T</t>
  </si>
  <si>
    <t>LOOCV1-P3-S0-T</t>
  </si>
  <si>
    <t>LOOCV1-P5-S0-T</t>
  </si>
  <si>
    <t>LOOCV1-P6-S0-T</t>
  </si>
  <si>
    <t>LOOCV1-P7-S0-T</t>
  </si>
  <si>
    <t>LOOCV1-P8-S0-T</t>
  </si>
  <si>
    <t>LOOCV1-P9-S0-T</t>
  </si>
  <si>
    <t>OPVAL-P1A-S0-NT</t>
  </si>
  <si>
    <t>OPVAL-P2A-S0-NT</t>
  </si>
  <si>
    <t>P2A</t>
  </si>
  <si>
    <t>252 Seamist Court</t>
  </si>
  <si>
    <t>OPVAL-P3A-S0-NT</t>
  </si>
  <si>
    <t>P3A</t>
  </si>
  <si>
    <t>213 Seamist Court</t>
  </si>
  <si>
    <t>OPVAL-P4A-S0-NT</t>
  </si>
  <si>
    <t>P4A</t>
  </si>
  <si>
    <t>144 Crosscove Circle</t>
  </si>
  <si>
    <t>OPVAL-P5A-S0-NT</t>
  </si>
  <si>
    <t>P5A</t>
  </si>
  <si>
    <t>193 Crosscove Circle</t>
  </si>
  <si>
    <t>OPVAL-P6A-S0-NT</t>
  </si>
  <si>
    <t>P6A</t>
  </si>
  <si>
    <t>185 Crosscove Circle</t>
  </si>
  <si>
    <t>OPVAL-P7A-S0-NT</t>
  </si>
  <si>
    <t>P7A</t>
  </si>
  <si>
    <t>205 Stellar Court</t>
  </si>
  <si>
    <t>OPVAL-P8A-S0-NT</t>
  </si>
  <si>
    <t>P8A</t>
  </si>
  <si>
    <t>173 Crossroad Lakes Drive</t>
  </si>
  <si>
    <t>OPVAL-P9A-S0-NT</t>
  </si>
  <si>
    <t>P9A</t>
  </si>
  <si>
    <t>120 Summer Tree Court</t>
  </si>
  <si>
    <t>OPVAL-P1A-S0-T</t>
  </si>
  <si>
    <t>OPVAL-P2A-S0-T</t>
  </si>
  <si>
    <t>OPVAL-P3A-S0-T</t>
  </si>
  <si>
    <t>OPVAL-P4A-S0-T</t>
  </si>
  <si>
    <t>OPVAL-P5A-S0-T</t>
  </si>
  <si>
    <t>OPVAL-P6A-S0-T</t>
  </si>
  <si>
    <t>OPVAL-P7A-S0-T</t>
  </si>
  <si>
    <t>OPVAL-P8A-S0-T</t>
  </si>
  <si>
    <t>OPVAL-P9A-S0-T</t>
  </si>
  <si>
    <t>PROSP-P1P-S0-T</t>
  </si>
  <si>
    <t>P1P</t>
  </si>
  <si>
    <t>Record ID</t>
  </si>
  <si>
    <t>Cohort Year</t>
  </si>
  <si>
    <t>Property</t>
  </si>
  <si>
    <t>Evidence Attachment</t>
  </si>
  <si>
    <t>Official Slot</t>
  </si>
  <si>
    <t>Run</t>
  </si>
  <si>
    <t>I</t>
  </si>
  <si>
    <t>F</t>
  </si>
  <si>
    <t>Y</t>
  </si>
  <si>
    <t>LOOCV0-P1-S0-NT-E011</t>
  </si>
  <si>
    <t>LOOCV0-P1-S0-NT-E002</t>
  </si>
  <si>
    <t>LOOCV0-P1-S0-NT-E003</t>
  </si>
  <si>
    <t>LOOCV0-P1-S0-NT-E004</t>
  </si>
  <si>
    <t>LOOCV0-P1-S0-NT-E005</t>
  </si>
  <si>
    <t>LOOCV0-P1-S0-NT-E006</t>
  </si>
  <si>
    <t>LOOCV0-P1-S0-NT-E012</t>
  </si>
  <si>
    <t>LOOCV0-P1-S0-NT-E008</t>
  </si>
  <si>
    <t>LOOCV0-P1-S0-NT-E009</t>
  </si>
  <si>
    <t>LOOCV0-P1-S0-NT-E010</t>
  </si>
  <si>
    <t>LOOCV0-P2-S0-NT-E001</t>
  </si>
  <si>
    <t>LOOCV0-P2-S0-NT-E002</t>
  </si>
  <si>
    <t>LOOCV0-P2-S0-NT-E003</t>
  </si>
  <si>
    <t>LOOCV0-P2-S0-NT-E004</t>
  </si>
  <si>
    <t>LOOCV0-P2-S0-NT-E005</t>
  </si>
  <si>
    <t>LOOCV0-P2-S0-NT-E006</t>
  </si>
  <si>
    <t>LOOCV0-P2-S0-NT-E007</t>
  </si>
  <si>
    <t>LOOCV0-P2-S0-NT-E008</t>
  </si>
  <si>
    <t>LOOCV0-P2-S0-NT-E009</t>
  </si>
  <si>
    <t>LOOCV0-P2-S0-NT-E010</t>
  </si>
  <si>
    <t>LOOCV0-P3-S0-NT-E001</t>
  </si>
  <si>
    <t>LOOCV0-P3-S0-NT-E002</t>
  </si>
  <si>
    <t>LOOCV0-P3-S0-NT-E003</t>
  </si>
  <si>
    <t>LOOCV0-P3-S0-NT-E004</t>
  </si>
  <si>
    <t>LOOCV0-P3-S0-NT-E005</t>
  </si>
  <si>
    <t>LOOCV0-P3-S0-NT-E006</t>
  </si>
  <si>
    <t>LOOCV0-P3-S0-NT-E007</t>
  </si>
  <si>
    <t>LOOCV0-P3-S0-NT-E008</t>
  </si>
  <si>
    <t>LOOCV0-P3-S0-NT-E009</t>
  </si>
  <si>
    <t>LOOCV0-P3-S0-NT-E010</t>
  </si>
  <si>
    <t>LOOCV0-P4-S0-NT-E001</t>
  </si>
  <si>
    <t>LOOCV0-P4-S0-NT-E002</t>
  </si>
  <si>
    <t>LOOCV0-P4-S0-NT-E003</t>
  </si>
  <si>
    <t>LOOCV0-P4-S0-NT-E004</t>
  </si>
  <si>
    <t>LOOCV0-P4-S0-NT-E005</t>
  </si>
  <si>
    <t>LOOCV0-P4-S0-NT-E006</t>
  </si>
  <si>
    <t>LOOCV0-P4-S0-NT-E007</t>
  </si>
  <si>
    <t>LOOCV0-P4-S0-NT-E008</t>
  </si>
  <si>
    <t>LOOCV0-P4-S0-NT-E009</t>
  </si>
  <si>
    <t>LOOCV0-P4-S0-NT-E010</t>
  </si>
  <si>
    <t>LOOCV0-P5-S0-NT-E011</t>
  </si>
  <si>
    <t>LOOCV0-P5-S0-NT-E002</t>
  </si>
  <si>
    <t>LOOCV0-P5-S0-NT-E012</t>
  </si>
  <si>
    <t>LOOCV0-P5-S0-NT-E004</t>
  </si>
  <si>
    <t>LOOCV0-P5-S0-NT-E005</t>
  </si>
  <si>
    <t>LOOCV0-P5-S0-NT-E006</t>
  </si>
  <si>
    <t>LOOCV0-P5-S0-NT-E007</t>
  </si>
  <si>
    <t>LOOCV0-P5-S0-NT-E008</t>
  </si>
  <si>
    <t>LOOCV0-P5-S0-NT-E009</t>
  </si>
  <si>
    <t>LOOCV0-P5-S0-NT-E010</t>
  </si>
  <si>
    <t>LOOCV0-P6-S0-NT-E001</t>
  </si>
  <si>
    <t>LOOCV0-P6-S0-NT-E002</t>
  </si>
  <si>
    <t>LOOCV0-P6-S0-NT-E003</t>
  </si>
  <si>
    <t>LOOCV0-P6-S0-NT-E004</t>
  </si>
  <si>
    <t>LOOCV0-P6-S0-NT-E005</t>
  </si>
  <si>
    <t>LOOCV0-P6-S0-NT-E006</t>
  </si>
  <si>
    <t>LOOCV0-P6-S0-NT-E007</t>
  </si>
  <si>
    <t>LOOCV0-P6-S0-NT-E008</t>
  </si>
  <si>
    <t>LOOCV0-P6-S0-NT-E009</t>
  </si>
  <si>
    <t>LOOCV0-P6-S0-NT-E010</t>
  </si>
  <si>
    <t>LOOCV0-P7-S0-NT-E001</t>
  </si>
  <si>
    <t>LOOCV0-P7-S0-NT-E002</t>
  </si>
  <si>
    <t>LOOCV0-P7-S0-NT-E003</t>
  </si>
  <si>
    <t>LOOCV0-P7-S0-NT-E004</t>
  </si>
  <si>
    <t>LOOCV0-P7-S0-NT-E005</t>
  </si>
  <si>
    <t>LOOCV0-P7-S0-NT-E011</t>
  </si>
  <si>
    <t>LOOCV0-P7-S0-NT-E007</t>
  </si>
  <si>
    <t>LOOCV0-P7-S0-NT-E008</t>
  </si>
  <si>
    <t>LOOCV0-P7-S0-NT-E009</t>
  </si>
  <si>
    <t>LOOCV0-P7-S0-NT-E012</t>
  </si>
  <si>
    <t>LOOCV0-P8-S0-NT-E001</t>
  </si>
  <si>
    <t>LOOCV0-P8-S0-NT-E002</t>
  </si>
  <si>
    <t>LOOCV0-P8-S0-NT-E003</t>
  </si>
  <si>
    <t>LOOCV0-P8-S0-NT-E011</t>
  </si>
  <si>
    <t>LOOCV0-P8-S0-NT-E005</t>
  </si>
  <si>
    <t>LOOCV0-P8-S0-NT-E006</t>
  </si>
  <si>
    <t>LOOCV0-P8-S0-NT-E012</t>
  </si>
  <si>
    <t>LOOCV0-P8-S0-NT-E008</t>
  </si>
  <si>
    <t>LOOCV0-P8-S0-NT-E009</t>
  </si>
  <si>
    <t>LOOCV0-P8-S0-NT-E010</t>
  </si>
  <si>
    <t>LOOCV0-P9-S0-NT-E001</t>
  </si>
  <si>
    <t>LOOCV0-P9-S0-NT-E002</t>
  </si>
  <si>
    <t>LOOCV0-P9-S0-NT-E003</t>
  </si>
  <si>
    <t>LOOCV0-P9-S0-NT-E004</t>
  </si>
  <si>
    <t>LOOCV0-P9-S0-NT-E011</t>
  </si>
  <si>
    <t>LOOCV0-P9-S0-NT-E006</t>
  </si>
  <si>
    <t>LOOCV0-P9-S0-NT-E007</t>
  </si>
  <si>
    <t>LOOCV0-P9-S0-NT-E008</t>
  </si>
  <si>
    <t>LOOCV0-P9-S0-NT-E009</t>
  </si>
  <si>
    <t>LOOCV0-P9-S0-NT-E010</t>
  </si>
  <si>
    <t>LOOCV0-P1-S0-T-E001</t>
  </si>
  <si>
    <t>LOOCV0-P1-S0-T-E003</t>
  </si>
  <si>
    <t>LOOCV0-P1-S0-T-E004</t>
  </si>
  <si>
    <t>LOOCV0-P1-S0-T-E005</t>
  </si>
  <si>
    <t>LOOCV0-P1-S0-T-E006</t>
  </si>
  <si>
    <t>LOOCV0-P1-S0-T-E008</t>
  </si>
  <si>
    <t>LOOCV0-P1-S0-T-E009</t>
  </si>
  <si>
    <t>LOOCV0-P1-S0-T-E010</t>
  </si>
  <si>
    <t>LOOCV0-P1-S0-T-E011</t>
  </si>
  <si>
    <t>LOOCV0-P1-S0-T-E012</t>
  </si>
  <si>
    <t>LOOCV0-P2-S0-T-E001</t>
  </si>
  <si>
    <t>LOOCV0-P2-S0-T-E002</t>
  </si>
  <si>
    <t>LOOCV0-P2-S0-T-E003</t>
  </si>
  <si>
    <t>LOOCV0-P2-S0-T-E004</t>
  </si>
  <si>
    <t>LOOCV0-P2-S0-T-E005</t>
  </si>
  <si>
    <t>LOOCV0-P2-S0-T-E006</t>
  </si>
  <si>
    <t>LOOCV0-P2-S0-T-E007</t>
  </si>
  <si>
    <t>LOOCV0-P2-S0-T-E008</t>
  </si>
  <si>
    <t>LOOCV0-P2-S0-T-E009</t>
  </si>
  <si>
    <t>LOOCV0-P2-S0-T-E010</t>
  </si>
  <si>
    <t>LOOCV0-P3-S0-T-E006</t>
  </si>
  <si>
    <t>LOOCV0-P3-S0-T-E007</t>
  </si>
  <si>
    <t>LOOCV0-P3-S0-T-E008</t>
  </si>
  <si>
    <t>LOOCV0-P3-S0-T-E009</t>
  </si>
  <si>
    <t>LOOCV0-P3-S0-T-E010</t>
  </si>
  <si>
    <t>LOOCV0-P3-S0-T-E011</t>
  </si>
  <si>
    <t>LOOCV0-P3-S0-T-E012</t>
  </si>
  <si>
    <t>LOOCV0-P3-S0-T-E013</t>
  </si>
  <si>
    <t>LOOCV0-P3-S0-T-E014</t>
  </si>
  <si>
    <t>LOOCV0-P3-S0-T-E015</t>
  </si>
  <si>
    <t>LOOCV0-P4-S0-T-E001</t>
  </si>
  <si>
    <t>LOOCV0-P4-S0-T-E002</t>
  </si>
  <si>
    <t>LOOCV0-P4-S0-T-E003</t>
  </si>
  <si>
    <t>LOOCV0-P4-S0-T-E004</t>
  </si>
  <si>
    <t>LOOCV0-P4-S0-T-E005</t>
  </si>
  <si>
    <t>LOOCV0-P4-S0-T-E006</t>
  </si>
  <si>
    <t>LOOCV0-P4-S0-T-E007</t>
  </si>
  <si>
    <t>LOOCV0-P4-S0-T-E008</t>
  </si>
  <si>
    <t>LOOCV0-P4-S0-T-E009</t>
  </si>
  <si>
    <t>LOOCV0-P4-S0-T-E010</t>
  </si>
  <si>
    <t>LOOCV0-P5-S0-T-E001</t>
  </si>
  <si>
    <t>LOOCV0-P5-S0-T-E002</t>
  </si>
  <si>
    <t>LOOCV0-P5-S0-T-E003</t>
  </si>
  <si>
    <t>LOOCV0-P5-S0-T-E004</t>
  </si>
  <si>
    <t>LOOCV0-P5-S0-T-E005</t>
  </si>
  <si>
    <t>LOOCV0-P5-S0-T-E006</t>
  </si>
  <si>
    <t>LOOCV0-P5-S0-T-E007</t>
  </si>
  <si>
    <t>LOOCV0-P5-S0-T-E008</t>
  </si>
  <si>
    <t>LOOCV0-P5-S0-T-E009</t>
  </si>
  <si>
    <t>LOOCV0-P5-S0-T-E010</t>
  </si>
  <si>
    <t>LOOCV0-P6-S0-T-E001</t>
  </si>
  <si>
    <t>LOOCV0-P6-S0-T-E002</t>
  </si>
  <si>
    <t>LOOCV0-P6-S0-T-E003</t>
  </si>
  <si>
    <t>LOOCV0-P6-S0-T-E004</t>
  </si>
  <si>
    <t>LOOCV0-P6-S0-T-E005</t>
  </si>
  <si>
    <t>LOOCV0-P6-S0-T-E006</t>
  </si>
  <si>
    <t>LOOCV0-P6-S0-T-E007</t>
  </si>
  <si>
    <t>LOOCV0-P6-S0-T-E008</t>
  </si>
  <si>
    <t>LOOCV0-P6-S0-T-E009</t>
  </si>
  <si>
    <t>LOOCV0-P6-S0-T-E010</t>
  </si>
  <si>
    <t>LOOCV0-P7-S0-T-E001</t>
  </si>
  <si>
    <t>LOOCV0-P7-S0-T-E002</t>
  </si>
  <si>
    <t>LOOCV0-P7-S0-T-E003</t>
  </si>
  <si>
    <t>LOOCV0-P7-S0-T-E004</t>
  </si>
  <si>
    <t>LOOCV0-P7-S0-T-E005</t>
  </si>
  <si>
    <t>LOOCV0-P7-S0-T-E006</t>
  </si>
  <si>
    <t>LOOCV0-P7-S0-T-E007</t>
  </si>
  <si>
    <t>LOOCV0-P7-S0-T-E008</t>
  </si>
  <si>
    <t>LOOCV0-P7-S0-T-E009</t>
  </si>
  <si>
    <t>LOOCV0-P7-S0-T-E010</t>
  </si>
  <si>
    <t>LOOCV0-P8-S0-T-E001</t>
  </si>
  <si>
    <t>LOOCV0-P8-S0-T-E002</t>
  </si>
  <si>
    <t>LOOCV0-P8-S0-T-E003</t>
  </si>
  <si>
    <t>LOOCV0-P8-S0-T-E004</t>
  </si>
  <si>
    <t>LOOCV0-P8-S0-T-E005</t>
  </si>
  <si>
    <t>LOOCV0-P8-S0-T-E006</t>
  </si>
  <si>
    <t>LOOCV0-P8-S0-T-E007</t>
  </si>
  <si>
    <t>LOOCV0-P8-S0-T-E008</t>
  </si>
  <si>
    <t>LOOCV0-P8-S0-T-E009</t>
  </si>
  <si>
    <t>LOOCV0-P8-S0-T-E010</t>
  </si>
  <si>
    <t>LOOCV0-P9-S0-T-E001</t>
  </si>
  <si>
    <t>LOOCV0-P9-S0-T-E002</t>
  </si>
  <si>
    <t>LOOCV0-P9-S0-T-E003</t>
  </si>
  <si>
    <t>LOOCV0-P9-S0-T-E004</t>
  </si>
  <si>
    <t>LOOCV0-P9-S0-T-E005</t>
  </si>
  <si>
    <t>LOOCV0-P9-S0-T-E006</t>
  </si>
  <si>
    <t>LOOCV0-P9-S0-T-E007</t>
  </si>
  <si>
    <t>LOOCV0-P9-S0-T-E008</t>
  </si>
  <si>
    <t>LOOCV0-P9-S0-T-E009</t>
  </si>
  <si>
    <t>LOOCV0-P9-S0-T-E010</t>
  </si>
  <si>
    <t>LOOCV1-P1-S0-T-E001</t>
  </si>
  <si>
    <t>LOOCV1-P1-S0-T-E002</t>
  </si>
  <si>
    <t>LOOCV1-P1-S0-T-E003</t>
  </si>
  <si>
    <t>LOOCV1-P1-S0-T-E004</t>
  </si>
  <si>
    <t>LOOCV1-P1-S0-T-E005</t>
  </si>
  <si>
    <t>LOOCV1-P1-S0-T-E006</t>
  </si>
  <si>
    <t>LOOCV1-P1-S0-T-E007</t>
  </si>
  <si>
    <t>LOOCV1-P1-S0-T-E008</t>
  </si>
  <si>
    <t>LOOCV1-P1-S0-T-E009</t>
  </si>
  <si>
    <t>LOOCV1-P1-S0-T-E010</t>
  </si>
  <si>
    <t>LOOCV1-P1A-S0-T-E001</t>
  </si>
  <si>
    <t>LOOCV1-P1A-S0-T-E002</t>
  </si>
  <si>
    <t>LOOCV1-P1A-S0-T-E005</t>
  </si>
  <si>
    <t>LOOCV1-P1A-S0-T-E006</t>
  </si>
  <si>
    <t>LOOCV1-P1A-S0-T-E007</t>
  </si>
  <si>
    <t>LOOCV1-P1A-S0-T-E008</t>
  </si>
  <si>
    <t>LOOCV1-P1A-S0-T-E009</t>
  </si>
  <si>
    <t>LOOCV1-P1A-S0-T-E010</t>
  </si>
  <si>
    <t>LOOCV1-P1A-S0-T-E011</t>
  </si>
  <si>
    <t>LOOCV1-P1A-S0-T-E012</t>
  </si>
  <si>
    <t>LOOCV1-P2-S0-T-E001</t>
  </si>
  <si>
    <t>LOOCV1-P2-S0-T-E002</t>
  </si>
  <si>
    <t>LOOCV1-P2-S0-T-E003</t>
  </si>
  <si>
    <t>LOOCV1-P2-S0-T-E004</t>
  </si>
  <si>
    <t>LOOCV1-P2-S0-T-E005</t>
  </si>
  <si>
    <t>LOOCV1-P2-S0-T-E006</t>
  </si>
  <si>
    <t>LOOCV1-P2-S0-T-E007</t>
  </si>
  <si>
    <t>LOOCV1-P2-S0-T-E009</t>
  </si>
  <si>
    <t>LOOCV1-P2-S0-T-E010</t>
  </si>
  <si>
    <t>LOOCV1-P2-S0-T-E011</t>
  </si>
  <si>
    <t>LOOCV1-P3-S0-T-E001</t>
  </si>
  <si>
    <t>LOOCV1-P3-S0-T-E002</t>
  </si>
  <si>
    <t>LOOCV1-P3-S0-T-E003</t>
  </si>
  <si>
    <t>LOOCV1-P3-S0-T-E004</t>
  </si>
  <si>
    <t>LOOCV1-P3-S0-T-E005</t>
  </si>
  <si>
    <t>LOOCV1-P3-S0-T-E007</t>
  </si>
  <si>
    <t>LOOCV1-P3-S0-T-E008</t>
  </si>
  <si>
    <t>LOOCV1-P3-S0-T-E009</t>
  </si>
  <si>
    <t>LOOCV1-P3-S0-T-E010</t>
  </si>
  <si>
    <t>LOOCV1-P3-S0-T-E011</t>
  </si>
  <si>
    <t>LOOCV1-P5-S0-T-E001</t>
  </si>
  <si>
    <t>LOOCV1-P5-S0-T-E002</t>
  </si>
  <si>
    <t>LOOCV1-P5-S0-T-E003</t>
  </si>
  <si>
    <t>LOOCV1-P5-S0-T-E005</t>
  </si>
  <si>
    <t>LOOCV1-P5-S0-T-E006</t>
  </si>
  <si>
    <t>LOOCV1-P5-S0-T-E007</t>
  </si>
  <si>
    <t>LOOCV1-P5-S0-T-E009</t>
  </si>
  <si>
    <t>LOOCV1-P5-S0-T-E010</t>
  </si>
  <si>
    <t>LOOCV1-P5-S0-T-E011</t>
  </si>
  <si>
    <t>LOOCV1-P5-S0-T-E012</t>
  </si>
  <si>
    <t>LOOCV1-P6-S0-T-E001</t>
  </si>
  <si>
    <t>LOOCV1-P6-S0-T-E002</t>
  </si>
  <si>
    <t>LOOCV1-P6-S0-T-E003</t>
  </si>
  <si>
    <t>LOOCV1-P6-S0-T-E004</t>
  </si>
  <si>
    <t>LOOCV1-P6-S0-T-E005</t>
  </si>
  <si>
    <t>LOOCV1-P6-S0-T-E007</t>
  </si>
  <si>
    <t>LOOCV1-P6-S0-T-E008</t>
  </si>
  <si>
    <t>LOOCV1-P6-S0-T-E009</t>
  </si>
  <si>
    <t>LOOCV1-P6-S0-T-E010</t>
  </si>
  <si>
    <t>LOOCV1-P6-S0-T-E011</t>
  </si>
  <si>
    <t>LOOCV1-P7-S0-T-E001</t>
  </si>
  <si>
    <t>LOOCV1-P7-S0-T-E002</t>
  </si>
  <si>
    <t>LOOCV1-P7-S0-T-E003</t>
  </si>
  <si>
    <t>LOOCV1-P7-S0-T-E004</t>
  </si>
  <si>
    <t>LOOCV1-P7-S0-T-E006</t>
  </si>
  <si>
    <t>LOOCV1-P7-S0-T-E007</t>
  </si>
  <si>
    <t>LOOCV1-P7-S0-T-E008</t>
  </si>
  <si>
    <t>LOOCV1-P7-S0-T-E010</t>
  </si>
  <si>
    <t>LOOCV1-P7-S0-T-E011</t>
  </si>
  <si>
    <t>LOOCV1-P7-S0-T-E012</t>
  </si>
  <si>
    <t>LOOCV1-P8-S0-T-E001</t>
  </si>
  <si>
    <t>LOOCV1-P8-S0-T-E002</t>
  </si>
  <si>
    <t>LOOCV1-P8-S0-T-E004</t>
  </si>
  <si>
    <t>LOOCV1-P8-S0-T-E005</t>
  </si>
  <si>
    <t>LOOCV1-P8-S0-T-E006</t>
  </si>
  <si>
    <t>LOOCV1-P8-S0-T-E007</t>
  </si>
  <si>
    <t>LOOCV1-P8-S0-T-E008</t>
  </si>
  <si>
    <t>LOOCV1-P8-S0-T-E009</t>
  </si>
  <si>
    <t>LOOCV1-P8-S0-T-E011</t>
  </si>
  <si>
    <t>LOOCV1-P8-S0-T-E012</t>
  </si>
  <si>
    <t>LOOCV1-P9-S0-T-E001</t>
  </si>
  <si>
    <t>LOOCV1-P9-S0-T-E002</t>
  </si>
  <si>
    <t>LOOCV1-P9-S0-T-E003</t>
  </si>
  <si>
    <t>LOOCV1-P9-S0-T-E004</t>
  </si>
  <si>
    <t>LOOCV1-P9-S0-T-E005</t>
  </si>
  <si>
    <t>LOOCV1-P9-S0-T-E006</t>
  </si>
  <si>
    <t>LOOCV1-P9-S0-T-E007</t>
  </si>
  <si>
    <t>LOOCV1-P9-S0-T-E008</t>
  </si>
  <si>
    <t>LOOCV1-P9-S0-T-E009</t>
  </si>
  <si>
    <t>LOOCV1-P9-S0-T-E010</t>
  </si>
  <si>
    <t>OPVAL-P1A-S0-NT-E001</t>
  </si>
  <si>
    <t>OPVAL-P1A-S0-NT-E017</t>
  </si>
  <si>
    <t>OPVAL-P1A-S0-NT-E003</t>
  </si>
  <si>
    <t>OPVAL-P1A-S0-NT-E012</t>
  </si>
  <si>
    <t>OPVAL-P1A-S0-NT-E005</t>
  </si>
  <si>
    <t>OPVAL-P1A-S0-NT-E006</t>
  </si>
  <si>
    <t>OPVAL-P1A-S0-NT-E013</t>
  </si>
  <si>
    <t>OPVAL-P1A-S0-NT-E014</t>
  </si>
  <si>
    <t>OPVAL-P1A-S0-NT-E009</t>
  </si>
  <si>
    <t>OPVAL-P1A-S0-NT-E015</t>
  </si>
  <si>
    <t>OPVAL-P2A-S0-NT-E001</t>
  </si>
  <si>
    <t>OPVAL-P2A-S0-NT-E011</t>
  </si>
  <si>
    <t>OPVAL-P2A-S0-NT-E003</t>
  </si>
  <si>
    <t>OPVAL-P2A-S0-NT-E004</t>
  </si>
  <si>
    <t>OPVAL-P2A-S0-NT-E013</t>
  </si>
  <si>
    <t>OPVAL-P2A-S0-NT-E006</t>
  </si>
  <si>
    <t>OPVAL-P2A-S0-NT-E007</t>
  </si>
  <si>
    <t>OPVAL-P2A-S0-NT-E008</t>
  </si>
  <si>
    <t>OPVAL-P2A-S0-NT-E009</t>
  </si>
  <si>
    <t>OPVAL-P2A-S0-NT-E010</t>
  </si>
  <si>
    <t>OPVAL-P3A-S0-NT-E001</t>
  </si>
  <si>
    <t>OPVAL-P3A-S0-NT-E002</t>
  </si>
  <si>
    <t>OPVAL-P3A-S0-NT-E003</t>
  </si>
  <si>
    <t>OPVAL-P3A-S0-NT-E011</t>
  </si>
  <si>
    <t>OPVAL-P3A-S0-NT-E005</t>
  </si>
  <si>
    <t>OPVAL-P3A-S0-NT-E016</t>
  </si>
  <si>
    <t>OPVAL-P3A-S0-NT-E020</t>
  </si>
  <si>
    <t>OPVAL-P3A-S0-NT-E021</t>
  </si>
  <si>
    <t>OPVAL-P3A-S0-NT-E009</t>
  </si>
  <si>
    <t>OPVAL-P3A-S0-NT-E019</t>
  </si>
  <si>
    <t>OPVAL-P4A-S0-NT-E001</t>
  </si>
  <si>
    <t>OPVAL-P4A-S0-NT-E012</t>
  </si>
  <si>
    <t>OPVAL-P4A-S0-NT-E003</t>
  </si>
  <si>
    <t>OPVAL-P4A-S0-NT-E013</t>
  </si>
  <si>
    <t>OPVAL-P4A-S0-NT-E005</t>
  </si>
  <si>
    <t>OPVAL-P4A-S0-NT-E011</t>
  </si>
  <si>
    <t>OPVAL-P4A-S0-NT-E007</t>
  </si>
  <si>
    <t>OPVAL-P4A-S0-NT-E008</t>
  </si>
  <si>
    <t>OPVAL-P4A-S0-NT-E009</t>
  </si>
  <si>
    <t>OPVAL-P4A-S0-NT-E010</t>
  </si>
  <si>
    <t>OPVAL-P5A-S0-NT-E001</t>
  </si>
  <si>
    <t>OPVAL-P5A-S0-NT-E002</t>
  </si>
  <si>
    <t>OPVAL-P5A-S0-NT-E003</t>
  </si>
  <si>
    <t>OPVAL-P5A-S0-NT-E004</t>
  </si>
  <si>
    <t>OPVAL-P5A-S0-NT-E005</t>
  </si>
  <si>
    <t>OPVAL-P5A-S0-NT-E006</t>
  </si>
  <si>
    <t>OPVAL-P5A-S0-NT-E011</t>
  </si>
  <si>
    <t>OPVAL-P5A-S0-NT-E008</t>
  </si>
  <si>
    <t>OPVAL-P5A-S0-NT-E009</t>
  </si>
  <si>
    <t>OPVAL-P5A-S0-NT-E010</t>
  </si>
  <si>
    <t>OPVAL-P6A-S0-NT-E001</t>
  </si>
  <si>
    <t>OPVAL-P6A-S0-NT-E011</t>
  </si>
  <si>
    <t>OPVAL-P6A-S0-NT-E003</t>
  </si>
  <si>
    <t>OPVAL-P6A-S0-NT-E004</t>
  </si>
  <si>
    <t>OPVAL-P6A-S0-NT-E005</t>
  </si>
  <si>
    <t>OPVAL-P6A-S0-NT-E006</t>
  </si>
  <si>
    <t>OPVAL-P6A-S0-NT-E007</t>
  </si>
  <si>
    <t>OPVAL-P6A-S0-NT-E008</t>
  </si>
  <si>
    <t>OPVAL-P6A-S0-NT-E013</t>
  </si>
  <si>
    <t>OPVAL-P6A-S0-NT-E010</t>
  </si>
  <si>
    <t>OPVAL-P7A-S0-NT-E001</t>
  </si>
  <si>
    <t>OPVAL-P7A-S0-NT-E002</t>
  </si>
  <si>
    <t>OPVAL-P7A-S0-NT-E003</t>
  </si>
  <si>
    <t>OPVAL-P7A-S0-NT-E004</t>
  </si>
  <si>
    <t>OPVAL-P7A-S0-NT-E005</t>
  </si>
  <si>
    <t>OPVAL-P7A-S0-NT-E006</t>
  </si>
  <si>
    <t>OPVAL-P7A-S0-NT-E007</t>
  </si>
  <si>
    <t>OPVAL-P7A-S0-NT-E008</t>
  </si>
  <si>
    <t>OPVAL-P7A-S0-NT-E011</t>
  </si>
  <si>
    <t>OPVAL-P7A-S0-NT-E010</t>
  </si>
  <si>
    <t>OPVAL-P8A-S0-NT-E001</t>
  </si>
  <si>
    <t>OPVAL-P8A-S0-NT-E011</t>
  </si>
  <si>
    <t>OPVAL-P8A-S0-NT-E012</t>
  </si>
  <si>
    <t>OPVAL-P8A-S0-NT-E004</t>
  </si>
  <si>
    <t>OPVAL-P8A-S0-NT-E005</t>
  </si>
  <si>
    <t>OPVAL-P8A-S0-NT-E006</t>
  </si>
  <si>
    <t>OPVAL-P8A-S0-NT-E007</t>
  </si>
  <si>
    <t>OPVAL-P8A-S0-NT-E008</t>
  </si>
  <si>
    <t>OPVAL-P8A-S0-NT-E009</t>
  </si>
  <si>
    <t>OPVAL-P8A-S0-NT-E010</t>
  </si>
  <si>
    <t>OPVAL-P9A-S0-NT-E001</t>
  </si>
  <si>
    <t>OPVAL-P9A-S0-NT-E002</t>
  </si>
  <si>
    <t>OPVAL-P9A-S0-NT-E003</t>
  </si>
  <si>
    <t>OPVAL-P9A-S0-NT-E004</t>
  </si>
  <si>
    <t>OPVAL-P9A-S0-NT-E005</t>
  </si>
  <si>
    <t>OPVAL-P9A-S0-NT-E006</t>
  </si>
  <si>
    <t>OPVAL-P9A-S0-NT-E007</t>
  </si>
  <si>
    <t>OPVAL-P9A-S0-NT-E008</t>
  </si>
  <si>
    <t>OPVAL-P9A-S0-NT-E011</t>
  </si>
  <si>
    <t>OPVAL-P9A-S0-NT-E010</t>
  </si>
  <si>
    <t>OPVAL-P1A-S0-T-E001</t>
  </si>
  <si>
    <t>OPVAL-P1A-S0-T-E002</t>
  </si>
  <si>
    <t>OPVAL-P1A-S0-T-E003</t>
  </si>
  <si>
    <t>OPVAL-P1A-S0-T-E004</t>
  </si>
  <si>
    <t>OPVAL-P1A-S0-T-E005</t>
  </si>
  <si>
    <t>OPVAL-P1A-S0-T-E006</t>
  </si>
  <si>
    <t>OPVAL-P1A-S0-T-E007</t>
  </si>
  <si>
    <t>OPVAL-P1A-S0-T-E008</t>
  </si>
  <si>
    <t>OPVAL-P1A-S0-T-E009</t>
  </si>
  <si>
    <t>OPVAL-P1A-S0-T-E010</t>
  </si>
  <si>
    <t>OPVAL-P2A-S0-T-E001</t>
  </si>
  <si>
    <t>OPVAL-P2A-S0-T-E002</t>
  </si>
  <si>
    <t>OPVAL-P2A-S0-T-E003</t>
  </si>
  <si>
    <t>OPVAL-P2A-S0-T-E004</t>
  </si>
  <si>
    <t>OPVAL-P2A-S0-T-E005</t>
  </si>
  <si>
    <t>OPVAL-P2A-S0-T-E006</t>
  </si>
  <si>
    <t>OPVAL-P2A-S0-T-E007</t>
  </si>
  <si>
    <t>OPVAL-P2A-S0-T-E008</t>
  </si>
  <si>
    <t>OPVAL-P2A-S0-T-E009</t>
  </si>
  <si>
    <t>OPVAL-P2A-S0-T-E010</t>
  </si>
  <si>
    <t>OPVAL-P3A-S0-T-E001</t>
  </si>
  <si>
    <t>OPVAL-P3A-S0-T-E002</t>
  </si>
  <si>
    <t>OPVAL-P3A-S0-T-E003</t>
  </si>
  <si>
    <t>OPVAL-P3A-S0-T-E004</t>
  </si>
  <si>
    <t>OPVAL-P3A-S0-T-E011</t>
  </si>
  <si>
    <t>OPVAL-P3A-S0-T-E006</t>
  </si>
  <si>
    <t>OPVAL-P3A-S0-T-E007</t>
  </si>
  <si>
    <t>OPVAL-P3A-S0-T-E008</t>
  </si>
  <si>
    <t>OPVAL-P3A-S0-T-E009</t>
  </si>
  <si>
    <t>OPVAL-P3A-S0-T-E010</t>
  </si>
  <si>
    <t>OPVAL-P4A-S0-T-E001</t>
  </si>
  <si>
    <t>OPVAL-P4A-S0-T-E002</t>
  </si>
  <si>
    <t>OPVAL-P4A-S0-T-E003</t>
  </si>
  <si>
    <t>OPVAL-P4A-S0-T-E004</t>
  </si>
  <si>
    <t>OPVAL-P4A-S0-T-E011</t>
  </si>
  <si>
    <t>OPVAL-P4A-S0-T-E006</t>
  </si>
  <si>
    <t>OPVAL-P4A-S0-T-E007</t>
  </si>
  <si>
    <t>OPVAL-P4A-S0-T-E008</t>
  </si>
  <si>
    <t>OPVAL-P4A-S0-T-E009</t>
  </si>
  <si>
    <t>OPVAL-P4A-S0-T-E010</t>
  </si>
  <si>
    <t>OPVAL-P5A-S0-T-E001</t>
  </si>
  <si>
    <t>OPVAL-P5A-S0-T-E002</t>
  </si>
  <si>
    <t>OPVAL-P5A-S0-T-E003</t>
  </si>
  <si>
    <t>OPVAL-P5A-S0-T-E004</t>
  </si>
  <si>
    <t>OPVAL-P5A-S0-T-E005</t>
  </si>
  <si>
    <t>OPVAL-P5A-S0-T-E006</t>
  </si>
  <si>
    <t>OPVAL-P5A-S0-T-E007</t>
  </si>
  <si>
    <t>OPVAL-P5A-S0-T-E008</t>
  </si>
  <si>
    <t>OPVAL-P5A-S0-T-E009</t>
  </si>
  <si>
    <t>OPVAL-P5A-S0-T-E010</t>
  </si>
  <si>
    <t>OPVAL-P6A-S0-T-E001</t>
  </si>
  <si>
    <t>OPVAL-P6A-S0-T-E002</t>
  </si>
  <si>
    <t>OPVAL-P6A-S0-T-E003</t>
  </si>
  <si>
    <t>OPVAL-P6A-S0-T-E004</t>
  </si>
  <si>
    <t>OPVAL-P6A-S0-T-E005</t>
  </si>
  <si>
    <t>OPVAL-P6A-S0-T-E006</t>
  </si>
  <si>
    <t>OPVAL-P6A-S0-T-E007</t>
  </si>
  <si>
    <t>OPVAL-P6A-S0-T-E008</t>
  </si>
  <si>
    <t>OPVAL-P6A-S0-T-E009</t>
  </si>
  <si>
    <t>OPVAL-P6A-S0-T-E010</t>
  </si>
  <si>
    <t>OPVAL-P7A-S0-T-E001</t>
  </si>
  <si>
    <t>OPVAL-P7A-S0-T-E002</t>
  </si>
  <si>
    <t>OPVAL-P7A-S0-T-E003</t>
  </si>
  <si>
    <t>OPVAL-P7A-S0-T-E004</t>
  </si>
  <si>
    <t>OPVAL-P7A-S0-T-E005</t>
  </si>
  <si>
    <t>OPVAL-P7A-S0-T-E006</t>
  </si>
  <si>
    <t>OPVAL-P7A-S0-T-E007</t>
  </si>
  <si>
    <t>OPVAL-P7A-S0-T-E008</t>
  </si>
  <si>
    <t>OPVAL-P7A-S0-T-E009</t>
  </si>
  <si>
    <t>OPVAL-P7A-S0-T-E010</t>
  </si>
  <si>
    <t>OPVAL-P8A-S0-T-E001</t>
  </si>
  <si>
    <t>OPVAL-P8A-S0-T-E002</t>
  </si>
  <si>
    <t>OPVAL-P8A-S0-T-E003</t>
  </si>
  <si>
    <t>OPVAL-P8A-S0-T-E004</t>
  </si>
  <si>
    <t>OPVAL-P8A-S0-T-E005</t>
  </si>
  <si>
    <t>OPVAL-P8A-S0-T-E006</t>
  </si>
  <si>
    <t>OPVAL-P8A-S0-T-E007</t>
  </si>
  <si>
    <t>OPVAL-P8A-S0-T-E008</t>
  </si>
  <si>
    <t>OPVAL-P8A-S0-T-E009</t>
  </si>
  <si>
    <t>OPVAL-P8A-S0-T-E010</t>
  </si>
  <si>
    <t>OPVAL-P9A-S0-T-E001</t>
  </si>
  <si>
    <t>OPVAL-P9A-S0-T-E002</t>
  </si>
  <si>
    <t>OPVAL-P9A-S0-T-E003</t>
  </si>
  <si>
    <t>OPVAL-P9A-S0-T-E004</t>
  </si>
  <si>
    <t>OPVAL-P9A-S0-T-E005</t>
  </si>
  <si>
    <t>OPVAL-P9A-S0-T-E006</t>
  </si>
  <si>
    <t>OPVAL-P9A-S0-T-E007</t>
  </si>
  <si>
    <t>OPVAL-P9A-S0-T-E008</t>
  </si>
  <si>
    <t>OPVAL-P9A-S0-T-E009</t>
  </si>
  <si>
    <t>OPVAL-P9A-S0-T-E010</t>
  </si>
  <si>
    <t>PROSP-P1P-S0-T-E001</t>
  </si>
  <si>
    <t>PROSP-P1P-S0-T-E002</t>
  </si>
  <si>
    <t>PROSP-P1P-S0-T-E003</t>
  </si>
  <si>
    <t>PROSP-P1P-S0-T-E004</t>
  </si>
  <si>
    <t>PROSP-P1P-S0-T-E005</t>
  </si>
  <si>
    <t>PROSP-P1P-S0-T-E006</t>
  </si>
  <si>
    <t>PROSP-P1P-S0-T-E007</t>
  </si>
  <si>
    <t>PROSP-P1P-S0-T-E008</t>
  </si>
  <si>
    <t>PROSP-P1P-S0-T-E009</t>
  </si>
  <si>
    <t>PROSP-P1P-S0-T-E010</t>
  </si>
  <si>
    <t>S0 QUALIFIED — PREDICTIONS AND STATE CHARACTERIZATION</t>
  </si>
  <si>
    <t>Table results first; PROSP is separate from historical OPVAL. No Table detail and summaries are retained below.</t>
  </si>
  <si>
    <t>TABLE PROPERTY DETAIL — OPVAL, PROSP, LOOCV0, LOOCV1</t>
  </si>
  <si>
    <t>NO TABLE REFERENCE — OPVAL AND LOOCV0</t>
  </si>
  <si>
    <t>NO TABLE REFERENCE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</si>
</sst>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Arial"/>
    </font>
    <font>
      <b/>
      <sz val="11"/>
      <color rgb="FF1F4E79"/>
      <name val="Arial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8324C"/>
      </patternFill>
    </fill>
    <fill>
      <patternFill patternType="solid">
        <fgColor rgb="FFE7EFF6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1" applyNumberFormat="1" applyFont="1"/>
    <xf numFmtId="164" fontId="1" fillId="2" borderId="0" xfId="1" applyNumberFormat="1" applyFont="1" applyFill="1" applyAlignment="1">
      <alignment horizontal="center" wrapText="1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right"/>
    </xf>
    <xf numFmtId="10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10" fontId="3" fillId="0" borderId="0" xfId="0" applyNumberFormat="1" applyFont="1"/>
    <xf numFmtId="10" fontId="3" fillId="0" borderId="0" xfId="0" applyNumberFormat="1" applyFont="1" applyAlignment="1">
      <alignment horizontal="center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horizontal="right" wrapText="1"/>
    </xf>
    <xf numFmtId="0" fontId="4" fillId="3" borderId="0" xfId="0" applyFont="1" applyFill="1" applyAlignment="1">
      <alignment horizontal="center" wrapText="1"/>
    </xf>
    <xf numFmtId="0" fontId="5" fillId="4" borderId="0" xfId="0" applyFont="1" applyFill="1"/>
    <xf numFmtId="0" fontId="5" fillId="4" borderId="0" xfId="0" applyFont="1" applyFill="1" applyAlignment="1">
      <alignment horizontal="right"/>
    </xf>
    <xf numFmtId="10" fontId="5" fillId="4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wrapText="1"/>
    </xf>
    <xf numFmtId="0" fontId="5" fillId="4" borderId="0" xfId="0" applyFont="1" applyFill="1" applyAlignment="1">
      <alignment horizontal="right" wrapText="1"/>
    </xf>
    <xf numFmtId="164" fontId="5" fillId="4" borderId="0" xfId="0" applyNumberFormat="1" applyFont="1" applyFill="1"/>
    <xf numFmtId="10" fontId="5" fillId="4" borderId="0" xfId="0" applyNumberFormat="1" applyFont="1" applyFill="1"/>
    <xf numFmtId="10" fontId="5" fillId="4" borderId="0" xfId="0" applyNumberFormat="1" applyFont="1" applyFill="1" applyAlignment="1">
      <alignment horizontal="center"/>
    </xf>
    <xf numFmtId="1" fontId="5" fillId="4" borderId="0" xfId="0" applyNumberFormat="1" applyFont="1" applyFill="1" applyAlignment="1">
      <alignment horizontal="right"/>
    </xf>
    <xf numFmtId="1" fontId="5" fillId="4" borderId="0" xfId="0" applyNumberFormat="1" applyFont="1" applyFill="1"/>
    <xf numFmtId="1" fontId="5" fillId="4" borderId="0" xfId="0" applyNumberFormat="1" applyFont="1" applyFill="1" applyAlignment="1">
      <alignment horizontal="right" wrapText="1"/>
    </xf>
    <xf numFmtId="164" fontId="5" fillId="4" borderId="0" xfId="0" applyNumberFormat="1" applyFont="1" applyFill="1" applyAlignment="1">
      <alignment horizontal="right" wrapText="1"/>
    </xf>
    <xf numFmtId="165" fontId="5" fillId="4" borderId="0" xfId="0" applyNumberFormat="1" applyFont="1" applyFill="1"/>
    <xf numFmtId="165" fontId="5" fillId="4" borderId="0" xfId="0" applyNumberFormat="1" applyFont="1" applyFill="1" applyAlignment="1">
      <alignment horizontal="right" wrapText="1"/>
    </xf>
    <xf numFmtId="10" fontId="5" fillId="4" borderId="0" xfId="0" applyNumberFormat="1" applyFont="1" applyFill="1" applyAlignment="1">
      <alignment horizontal="right" wrapText="1"/>
    </xf>
    <xf numFmtId="10" fontId="5" fillId="4" borderId="0" xfId="0" applyNumberFormat="1" applyFont="1" applyFill="1" applyAlignment="1">
      <alignment horizontal="center" wrapText="1"/>
    </xf>
    <xf numFmtId="0" fontId="5" fillId="5" borderId="0" xfId="0" applyFont="1" applyFill="1"/>
    <xf numFmtId="0" fontId="5" fillId="5" borderId="0" xfId="0" applyFont="1" applyFill="1" applyAlignment="1">
      <alignment horizontal="right"/>
    </xf>
    <xf numFmtId="1" fontId="5" fillId="5" borderId="0" xfId="0" applyNumberFormat="1" applyFont="1" applyFill="1"/>
    <xf numFmtId="164" fontId="5" fillId="5" borderId="0" xfId="0" applyNumberFormat="1" applyFont="1" applyFill="1"/>
    <xf numFmtId="165" fontId="5" fillId="5" borderId="0" xfId="0" applyNumberFormat="1" applyFont="1" applyFill="1"/>
    <xf numFmtId="10" fontId="5" fillId="5" borderId="0" xfId="0" applyNumberFormat="1" applyFont="1" applyFill="1"/>
    <xf numFmtId="10" fontId="5" fillId="5" borderId="0" xfId="0" applyNumberFormat="1" applyFont="1" applyFill="1" applyAlignment="1">
      <alignment horizontal="center"/>
    </xf>
    <xf numFmtId="1" fontId="5" fillId="5" borderId="0" xfId="0" applyNumberFormat="1" applyFont="1" applyFill="1" applyAlignment="1">
      <alignment horizontal="right"/>
    </xf>
    <xf numFmtId="10" fontId="5" fillId="5" borderId="0" xfId="0" applyNumberFormat="1" applyFont="1" applyFill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10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64" fontId="4" fillId="0" borderId="0" xfId="0" applyNumberFormat="1" applyFont="1"/>
    <xf numFmtId="10" fontId="4" fillId="0" borderId="0" xfId="0" applyNumberFormat="1" applyFont="1"/>
    <xf numFmtId="10" fontId="4" fillId="0" borderId="0" xfId="0" applyNumberFormat="1" applyFont="1" applyAlignment="1">
      <alignment horizontal="center"/>
    </xf>
  </cellXfs>
  <cellStyles count="2">
    <cellStyle name="Currency" xfId="1" xr:uid="{00000000-0005-0000-0000-000000000000}"/>
    <cellStyle name="Normal" xfId="0" builtinId="0"/>
  </cellStyles>
  <dxfs count="8">
    <dxf>
      <numFmt numFmtId="164" formatCode="&quot;$&quot;#,##0"/>
    </dxf>
    <dxf>
      <numFmt numFmtId="164" formatCode="&quot;$&quot;#,##0"/>
    </dxf>
    <dxf>
      <numFmt numFmtId="164" formatCode="&quot;$&quot;#,##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Qualified" displayName="tblQualified" ref="A1:L461" totalsRowShown="0" headerRowDxfId="7">
  <autoFilter ref="A1:L461" xr:uid="{00000000-000C-0000-FFFF-FFFF00000000}"/>
  <tableColumns count="12">
    <tableColumn id="1" xr3:uid="{00000000-0010-0000-0000-000001000000}" name="Record ID"/>
    <tableColumn id="2" xr3:uid="{00000000-0010-0000-0000-000002000000}" name="Cell ID"/>
    <tableColumn id="3" xr3:uid="{00000000-0010-0000-0000-000003000000}" name="Population"/>
    <tableColumn id="4" xr3:uid="{00000000-0010-0000-0000-000004000000}" name="Cohort Year" dataDxfId="6"/>
    <tableColumn id="5" xr3:uid="{00000000-0010-0000-0000-000005000000}" name="Property ID" dataDxfId="5"/>
    <tableColumn id="6" xr3:uid="{00000000-0010-0000-0000-000006000000}" name="Property"/>
    <tableColumn id="7" xr3:uid="{00000000-0010-0000-0000-000007000000}" name="Evidence Attachment"/>
    <tableColumn id="8" xr3:uid="{00000000-0010-0000-0000-000008000000}" name="Official Slot" dataDxfId="4"/>
    <tableColumn id="9" xr3:uid="{00000000-0010-0000-0000-000009000000}" name="Run" dataDxfId="3"/>
    <tableColumn id="10" xr3:uid="{00000000-0010-0000-0000-00000A000000}" name="I" dataDxfId="2" dataCellStyle="Currency"/>
    <tableColumn id="11" xr3:uid="{00000000-0010-0000-0000-00000B000000}" name="F" dataDxfId="1" dataCellStyle="Currency"/>
    <tableColumn id="12" xr3:uid="{00000000-0010-0000-0000-00000C000000}" name="Y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DAF6-FD57-4983-B61B-1F0ED09B272A}">
  <sheetPr>
    <pageSetUpPr fitToPage="1"/>
  </sheetPr>
  <dimension ref="A1:L461"/>
  <sheetViews>
    <sheetView workbookViewId="0">
      <pane ySplit="1" topLeftCell="A2" activePane="bottomLeft" state="frozen"/>
      <selection pane="bottomLeft" activeCell="F19" sqref="F19"/>
    </sheetView>
  </sheetViews>
  <sheetFormatPr defaultRowHeight="14.25"/>
  <cols>
    <col min="1" max="1" width="27" customWidth="1"/>
    <col min="2" max="2" width="25" customWidth="1"/>
    <col min="3" max="3" width="11.5" customWidth="1"/>
    <col min="4" max="4" width="10.875" style="7" customWidth="1"/>
    <col min="5" max="5" width="10" style="7" customWidth="1"/>
    <col min="6" max="6" width="25.125" customWidth="1"/>
    <col min="7" max="7" width="11.125" customWidth="1"/>
    <col min="8" max="8" width="8.125" style="5" customWidth="1"/>
    <col min="9" max="9" width="9.125" style="5" customWidth="1"/>
    <col min="10" max="11" width="12.375" style="8" customWidth="1"/>
    <col min="12" max="12" width="13.75" style="8" customWidth="1"/>
  </cols>
  <sheetData>
    <row r="1" spans="1:12" s="3" customFormat="1" ht="36" customHeight="1">
      <c r="A1" s="2" t="s">
        <v>109</v>
      </c>
      <c r="B1" s="2" t="s">
        <v>16</v>
      </c>
      <c r="C1" s="2" t="s">
        <v>0</v>
      </c>
      <c r="D1" s="6" t="s">
        <v>110</v>
      </c>
      <c r="E1" s="6" t="s">
        <v>17</v>
      </c>
      <c r="F1" s="6" t="s">
        <v>111</v>
      </c>
      <c r="G1" s="2" t="s">
        <v>112</v>
      </c>
      <c r="H1" s="4" t="s">
        <v>113</v>
      </c>
      <c r="I1" s="4" t="s">
        <v>114</v>
      </c>
      <c r="J1" s="9" t="s">
        <v>115</v>
      </c>
      <c r="K1" s="9" t="s">
        <v>116</v>
      </c>
      <c r="L1" s="9" t="s">
        <v>117</v>
      </c>
    </row>
    <row r="2" spans="1:12">
      <c r="A2" t="s">
        <v>118</v>
      </c>
      <c r="B2" t="s">
        <v>26</v>
      </c>
      <c r="C2" t="s">
        <v>10</v>
      </c>
      <c r="D2" s="7">
        <v>2025</v>
      </c>
      <c r="E2" s="7" t="s">
        <v>27</v>
      </c>
      <c r="F2" t="s">
        <v>28</v>
      </c>
      <c r="G2" t="s">
        <v>11</v>
      </c>
      <c r="H2" s="5">
        <v>1</v>
      </c>
      <c r="I2" s="5">
        <v>11</v>
      </c>
      <c r="J2" s="8">
        <v>565000</v>
      </c>
      <c r="K2" s="8">
        <v>550000</v>
      </c>
      <c r="L2" s="8">
        <v>518700</v>
      </c>
    </row>
    <row r="3" spans="1:12">
      <c r="A3" t="s">
        <v>119</v>
      </c>
      <c r="B3" t="s">
        <v>26</v>
      </c>
      <c r="C3" t="s">
        <v>10</v>
      </c>
      <c r="D3" s="7">
        <v>2025</v>
      </c>
      <c r="E3" s="7" t="s">
        <v>27</v>
      </c>
      <c r="F3" t="s">
        <v>28</v>
      </c>
      <c r="G3" t="s">
        <v>11</v>
      </c>
      <c r="H3" s="5">
        <v>2</v>
      </c>
      <c r="I3" s="5">
        <v>2</v>
      </c>
      <c r="J3" s="8">
        <v>540000</v>
      </c>
      <c r="K3" s="8">
        <v>550000</v>
      </c>
      <c r="L3" s="8">
        <v>518700</v>
      </c>
    </row>
    <row r="4" spans="1:12">
      <c r="A4" t="s">
        <v>120</v>
      </c>
      <c r="B4" t="s">
        <v>26</v>
      </c>
      <c r="C4" t="s">
        <v>10</v>
      </c>
      <c r="D4" s="7">
        <v>2025</v>
      </c>
      <c r="E4" s="7" t="s">
        <v>27</v>
      </c>
      <c r="F4" t="s">
        <v>28</v>
      </c>
      <c r="G4" t="s">
        <v>11</v>
      </c>
      <c r="H4" s="5">
        <v>3</v>
      </c>
      <c r="I4" s="5">
        <v>3</v>
      </c>
      <c r="J4" s="8">
        <v>565000</v>
      </c>
      <c r="K4" s="8">
        <v>560000</v>
      </c>
      <c r="L4" s="8">
        <v>518700</v>
      </c>
    </row>
    <row r="5" spans="1:12">
      <c r="A5" t="s">
        <v>121</v>
      </c>
      <c r="B5" t="s">
        <v>26</v>
      </c>
      <c r="C5" t="s">
        <v>10</v>
      </c>
      <c r="D5" s="7">
        <v>2025</v>
      </c>
      <c r="E5" s="7" t="s">
        <v>27</v>
      </c>
      <c r="F5" t="s">
        <v>28</v>
      </c>
      <c r="G5" t="s">
        <v>11</v>
      </c>
      <c r="H5" s="5">
        <v>4</v>
      </c>
      <c r="I5" s="5">
        <v>4</v>
      </c>
      <c r="J5" s="8">
        <v>540000</v>
      </c>
      <c r="K5" s="8">
        <v>548000</v>
      </c>
      <c r="L5" s="8">
        <v>518700</v>
      </c>
    </row>
    <row r="6" spans="1:12">
      <c r="A6" t="s">
        <v>122</v>
      </c>
      <c r="B6" t="s">
        <v>26</v>
      </c>
      <c r="C6" t="s">
        <v>10</v>
      </c>
      <c r="D6" s="7">
        <v>2025</v>
      </c>
      <c r="E6" s="7" t="s">
        <v>27</v>
      </c>
      <c r="F6" t="s">
        <v>28</v>
      </c>
      <c r="G6" t="s">
        <v>11</v>
      </c>
      <c r="H6" s="5">
        <v>5</v>
      </c>
      <c r="I6" s="5">
        <v>5</v>
      </c>
      <c r="J6" s="8">
        <v>555000</v>
      </c>
      <c r="K6" s="8">
        <v>550000</v>
      </c>
      <c r="L6" s="8">
        <v>518700</v>
      </c>
    </row>
    <row r="7" spans="1:12">
      <c r="A7" t="s">
        <v>123</v>
      </c>
      <c r="B7" t="s">
        <v>26</v>
      </c>
      <c r="C7" t="s">
        <v>10</v>
      </c>
      <c r="D7" s="7">
        <v>2025</v>
      </c>
      <c r="E7" s="7" t="s">
        <v>27</v>
      </c>
      <c r="F7" t="s">
        <v>28</v>
      </c>
      <c r="G7" t="s">
        <v>11</v>
      </c>
      <c r="H7" s="5">
        <v>6</v>
      </c>
      <c r="I7" s="5">
        <v>6</v>
      </c>
      <c r="J7" s="8">
        <v>545000</v>
      </c>
      <c r="K7" s="8">
        <v>550000</v>
      </c>
      <c r="L7" s="8">
        <v>518700</v>
      </c>
    </row>
    <row r="8" spans="1:12">
      <c r="A8" t="s">
        <v>124</v>
      </c>
      <c r="B8" t="s">
        <v>26</v>
      </c>
      <c r="C8" t="s">
        <v>10</v>
      </c>
      <c r="D8" s="7">
        <v>2025</v>
      </c>
      <c r="E8" s="7" t="s">
        <v>27</v>
      </c>
      <c r="F8" t="s">
        <v>28</v>
      </c>
      <c r="G8" t="s">
        <v>11</v>
      </c>
      <c r="H8" s="5">
        <v>7</v>
      </c>
      <c r="I8" s="5">
        <v>12</v>
      </c>
      <c r="J8" s="8">
        <v>560000</v>
      </c>
      <c r="K8" s="8">
        <v>560000</v>
      </c>
      <c r="L8" s="8">
        <v>518700</v>
      </c>
    </row>
    <row r="9" spans="1:12">
      <c r="A9" t="s">
        <v>125</v>
      </c>
      <c r="B9" t="s">
        <v>26</v>
      </c>
      <c r="C9" t="s">
        <v>10</v>
      </c>
      <c r="D9" s="7">
        <v>2025</v>
      </c>
      <c r="E9" s="7" t="s">
        <v>27</v>
      </c>
      <c r="F9" t="s">
        <v>28</v>
      </c>
      <c r="G9" t="s">
        <v>11</v>
      </c>
      <c r="H9" s="5">
        <v>8</v>
      </c>
      <c r="I9" s="5">
        <v>8</v>
      </c>
      <c r="J9" s="8">
        <v>550000</v>
      </c>
      <c r="K9" s="8">
        <v>545000</v>
      </c>
      <c r="L9" s="8">
        <v>518700</v>
      </c>
    </row>
    <row r="10" spans="1:12">
      <c r="A10" t="s">
        <v>126</v>
      </c>
      <c r="B10" t="s">
        <v>26</v>
      </c>
      <c r="C10" t="s">
        <v>10</v>
      </c>
      <c r="D10" s="7">
        <v>2025</v>
      </c>
      <c r="E10" s="7" t="s">
        <v>27</v>
      </c>
      <c r="F10" t="s">
        <v>28</v>
      </c>
      <c r="G10" t="s">
        <v>11</v>
      </c>
      <c r="H10" s="5">
        <v>9</v>
      </c>
      <c r="I10" s="5">
        <v>9</v>
      </c>
      <c r="J10" s="8">
        <v>560000</v>
      </c>
      <c r="K10" s="8">
        <v>555000</v>
      </c>
      <c r="L10" s="8">
        <v>518700</v>
      </c>
    </row>
    <row r="11" spans="1:12">
      <c r="A11" t="s">
        <v>127</v>
      </c>
      <c r="B11" t="s">
        <v>26</v>
      </c>
      <c r="C11" t="s">
        <v>10</v>
      </c>
      <c r="D11" s="7">
        <v>2025</v>
      </c>
      <c r="E11" s="7" t="s">
        <v>27</v>
      </c>
      <c r="F11" t="s">
        <v>28</v>
      </c>
      <c r="G11" t="s">
        <v>11</v>
      </c>
      <c r="H11" s="5">
        <v>10</v>
      </c>
      <c r="I11" s="5">
        <v>10</v>
      </c>
      <c r="J11" s="8">
        <v>560000</v>
      </c>
      <c r="K11" s="8">
        <v>555000</v>
      </c>
      <c r="L11" s="8">
        <v>518700</v>
      </c>
    </row>
    <row r="12" spans="1:12">
      <c r="A12" t="s">
        <v>128</v>
      </c>
      <c r="B12" t="s">
        <v>29</v>
      </c>
      <c r="C12" t="s">
        <v>10</v>
      </c>
      <c r="D12" s="7">
        <v>2025</v>
      </c>
      <c r="E12" s="7" t="s">
        <v>30</v>
      </c>
      <c r="F12" t="s">
        <v>31</v>
      </c>
      <c r="G12" t="s">
        <v>11</v>
      </c>
      <c r="H12" s="5">
        <v>1</v>
      </c>
      <c r="I12" s="5">
        <v>1</v>
      </c>
      <c r="J12" s="8">
        <v>720000</v>
      </c>
      <c r="K12" s="8">
        <v>695000</v>
      </c>
      <c r="L12" s="8">
        <v>675000</v>
      </c>
    </row>
    <row r="13" spans="1:12">
      <c r="A13" t="s">
        <v>129</v>
      </c>
      <c r="B13" t="s">
        <v>29</v>
      </c>
      <c r="C13" t="s">
        <v>10</v>
      </c>
      <c r="D13" s="7">
        <v>2025</v>
      </c>
      <c r="E13" s="7" t="s">
        <v>30</v>
      </c>
      <c r="F13" t="s">
        <v>31</v>
      </c>
      <c r="G13" t="s">
        <v>11</v>
      </c>
      <c r="H13" s="5">
        <v>2</v>
      </c>
      <c r="I13" s="5">
        <v>2</v>
      </c>
      <c r="J13" s="8">
        <v>745000</v>
      </c>
      <c r="K13" s="8">
        <v>705000</v>
      </c>
      <c r="L13" s="8">
        <v>675000</v>
      </c>
    </row>
    <row r="14" spans="1:12">
      <c r="A14" t="s">
        <v>130</v>
      </c>
      <c r="B14" t="s">
        <v>29</v>
      </c>
      <c r="C14" t="s">
        <v>10</v>
      </c>
      <c r="D14" s="7">
        <v>2025</v>
      </c>
      <c r="E14" s="7" t="s">
        <v>30</v>
      </c>
      <c r="F14" t="s">
        <v>31</v>
      </c>
      <c r="G14" t="s">
        <v>11</v>
      </c>
      <c r="H14" s="5">
        <v>3</v>
      </c>
      <c r="I14" s="5">
        <v>3</v>
      </c>
      <c r="J14" s="8">
        <v>725000</v>
      </c>
      <c r="K14" s="8">
        <v>695000</v>
      </c>
      <c r="L14" s="8">
        <v>675000</v>
      </c>
    </row>
    <row r="15" spans="1:12">
      <c r="A15" t="s">
        <v>131</v>
      </c>
      <c r="B15" t="s">
        <v>29</v>
      </c>
      <c r="C15" t="s">
        <v>10</v>
      </c>
      <c r="D15" s="7">
        <v>2025</v>
      </c>
      <c r="E15" s="7" t="s">
        <v>30</v>
      </c>
      <c r="F15" t="s">
        <v>31</v>
      </c>
      <c r="G15" t="s">
        <v>11</v>
      </c>
      <c r="H15" s="5">
        <v>4</v>
      </c>
      <c r="I15" s="5">
        <v>4</v>
      </c>
      <c r="J15" s="8">
        <v>710000</v>
      </c>
      <c r="K15" s="8">
        <v>695000</v>
      </c>
      <c r="L15" s="8">
        <v>675000</v>
      </c>
    </row>
    <row r="16" spans="1:12">
      <c r="A16" t="s">
        <v>132</v>
      </c>
      <c r="B16" t="s">
        <v>29</v>
      </c>
      <c r="C16" t="s">
        <v>10</v>
      </c>
      <c r="D16" s="7">
        <v>2025</v>
      </c>
      <c r="E16" s="7" t="s">
        <v>30</v>
      </c>
      <c r="F16" t="s">
        <v>31</v>
      </c>
      <c r="G16" t="s">
        <v>11</v>
      </c>
      <c r="H16" s="5">
        <v>5</v>
      </c>
      <c r="I16" s="5">
        <v>5</v>
      </c>
      <c r="J16" s="8">
        <v>725000</v>
      </c>
      <c r="K16" s="8">
        <v>695000</v>
      </c>
      <c r="L16" s="8">
        <v>675000</v>
      </c>
    </row>
    <row r="17" spans="1:12">
      <c r="A17" t="s">
        <v>133</v>
      </c>
      <c r="B17" t="s">
        <v>29</v>
      </c>
      <c r="C17" t="s">
        <v>10</v>
      </c>
      <c r="D17" s="7">
        <v>2025</v>
      </c>
      <c r="E17" s="7" t="s">
        <v>30</v>
      </c>
      <c r="F17" t="s">
        <v>31</v>
      </c>
      <c r="G17" t="s">
        <v>11</v>
      </c>
      <c r="H17" s="5">
        <v>6</v>
      </c>
      <c r="I17" s="5">
        <v>6</v>
      </c>
      <c r="J17" s="8">
        <v>715000</v>
      </c>
      <c r="K17" s="8">
        <v>695000</v>
      </c>
      <c r="L17" s="8">
        <v>675000</v>
      </c>
    </row>
    <row r="18" spans="1:12">
      <c r="A18" t="s">
        <v>134</v>
      </c>
      <c r="B18" t="s">
        <v>29</v>
      </c>
      <c r="C18" t="s">
        <v>10</v>
      </c>
      <c r="D18" s="7">
        <v>2025</v>
      </c>
      <c r="E18" s="7" t="s">
        <v>30</v>
      </c>
      <c r="F18" t="s">
        <v>31</v>
      </c>
      <c r="G18" t="s">
        <v>11</v>
      </c>
      <c r="H18" s="5">
        <v>7</v>
      </c>
      <c r="I18" s="5">
        <v>7</v>
      </c>
      <c r="J18" s="8">
        <v>715000</v>
      </c>
      <c r="K18" s="8">
        <v>699000</v>
      </c>
      <c r="L18" s="8">
        <v>675000</v>
      </c>
    </row>
    <row r="19" spans="1:12">
      <c r="A19" t="s">
        <v>135</v>
      </c>
      <c r="B19" t="s">
        <v>29</v>
      </c>
      <c r="C19" t="s">
        <v>10</v>
      </c>
      <c r="D19" s="7">
        <v>2025</v>
      </c>
      <c r="E19" s="7" t="s">
        <v>30</v>
      </c>
      <c r="F19" t="s">
        <v>31</v>
      </c>
      <c r="G19" t="s">
        <v>11</v>
      </c>
      <c r="H19" s="5">
        <v>8</v>
      </c>
      <c r="I19" s="5">
        <v>8</v>
      </c>
      <c r="J19" s="8">
        <v>710000</v>
      </c>
      <c r="K19" s="8">
        <v>690000</v>
      </c>
      <c r="L19" s="8">
        <v>675000</v>
      </c>
    </row>
    <row r="20" spans="1:12">
      <c r="A20" t="s">
        <v>136</v>
      </c>
      <c r="B20" t="s">
        <v>29</v>
      </c>
      <c r="C20" t="s">
        <v>10</v>
      </c>
      <c r="D20" s="7">
        <v>2025</v>
      </c>
      <c r="E20" s="7" t="s">
        <v>30</v>
      </c>
      <c r="F20" t="s">
        <v>31</v>
      </c>
      <c r="G20" t="s">
        <v>11</v>
      </c>
      <c r="H20" s="5">
        <v>9</v>
      </c>
      <c r="I20" s="5">
        <v>9</v>
      </c>
      <c r="J20" s="8">
        <v>735000</v>
      </c>
      <c r="K20" s="8">
        <v>695000</v>
      </c>
      <c r="L20" s="8">
        <v>675000</v>
      </c>
    </row>
    <row r="21" spans="1:12">
      <c r="A21" t="s">
        <v>137</v>
      </c>
      <c r="B21" t="s">
        <v>29</v>
      </c>
      <c r="C21" t="s">
        <v>10</v>
      </c>
      <c r="D21" s="7">
        <v>2025</v>
      </c>
      <c r="E21" s="7" t="s">
        <v>30</v>
      </c>
      <c r="F21" t="s">
        <v>31</v>
      </c>
      <c r="G21" t="s">
        <v>11</v>
      </c>
      <c r="H21" s="5">
        <v>10</v>
      </c>
      <c r="I21" s="5">
        <v>10</v>
      </c>
      <c r="J21" s="8">
        <v>725000</v>
      </c>
      <c r="K21" s="8">
        <v>700000</v>
      </c>
      <c r="L21" s="8">
        <v>675000</v>
      </c>
    </row>
    <row r="22" spans="1:12">
      <c r="A22" t="s">
        <v>138</v>
      </c>
      <c r="B22" t="s">
        <v>32</v>
      </c>
      <c r="C22" t="s">
        <v>10</v>
      </c>
      <c r="D22" s="7">
        <v>2025</v>
      </c>
      <c r="E22" s="7" t="s">
        <v>33</v>
      </c>
      <c r="F22" t="s">
        <v>34</v>
      </c>
      <c r="G22" t="s">
        <v>11</v>
      </c>
      <c r="H22" s="5">
        <v>1</v>
      </c>
      <c r="I22" s="5">
        <v>1</v>
      </c>
      <c r="J22" s="8">
        <v>645000</v>
      </c>
      <c r="K22" s="8">
        <v>660000</v>
      </c>
      <c r="L22" s="8">
        <v>620000</v>
      </c>
    </row>
    <row r="23" spans="1:12">
      <c r="A23" t="s">
        <v>139</v>
      </c>
      <c r="B23" t="s">
        <v>32</v>
      </c>
      <c r="C23" t="s">
        <v>10</v>
      </c>
      <c r="D23" s="7">
        <v>2025</v>
      </c>
      <c r="E23" s="7" t="s">
        <v>33</v>
      </c>
      <c r="F23" t="s">
        <v>34</v>
      </c>
      <c r="G23" t="s">
        <v>11</v>
      </c>
      <c r="H23" s="5">
        <v>2</v>
      </c>
      <c r="I23" s="5">
        <v>2</v>
      </c>
      <c r="J23" s="8">
        <v>630000</v>
      </c>
      <c r="K23" s="8">
        <v>650000</v>
      </c>
      <c r="L23" s="8">
        <v>620000</v>
      </c>
    </row>
    <row r="24" spans="1:12">
      <c r="A24" t="s">
        <v>140</v>
      </c>
      <c r="B24" t="s">
        <v>32</v>
      </c>
      <c r="C24" t="s">
        <v>10</v>
      </c>
      <c r="D24" s="7">
        <v>2025</v>
      </c>
      <c r="E24" s="7" t="s">
        <v>33</v>
      </c>
      <c r="F24" t="s">
        <v>34</v>
      </c>
      <c r="G24" t="s">
        <v>11</v>
      </c>
      <c r="H24" s="5">
        <v>3</v>
      </c>
      <c r="I24" s="5">
        <v>3</v>
      </c>
      <c r="J24" s="8">
        <v>650000</v>
      </c>
      <c r="K24" s="8">
        <v>660000</v>
      </c>
      <c r="L24" s="8">
        <v>620000</v>
      </c>
    </row>
    <row r="25" spans="1:12">
      <c r="A25" t="s">
        <v>141</v>
      </c>
      <c r="B25" t="s">
        <v>32</v>
      </c>
      <c r="C25" t="s">
        <v>10</v>
      </c>
      <c r="D25" s="7">
        <v>2025</v>
      </c>
      <c r="E25" s="7" t="s">
        <v>33</v>
      </c>
      <c r="F25" t="s">
        <v>34</v>
      </c>
      <c r="G25" t="s">
        <v>11</v>
      </c>
      <c r="H25" s="5">
        <v>4</v>
      </c>
      <c r="I25" s="5">
        <v>4</v>
      </c>
      <c r="J25" s="8">
        <v>635000</v>
      </c>
      <c r="K25" s="8">
        <v>660000</v>
      </c>
      <c r="L25" s="8">
        <v>620000</v>
      </c>
    </row>
    <row r="26" spans="1:12">
      <c r="A26" t="s">
        <v>142</v>
      </c>
      <c r="B26" t="s">
        <v>32</v>
      </c>
      <c r="C26" t="s">
        <v>10</v>
      </c>
      <c r="D26" s="7">
        <v>2025</v>
      </c>
      <c r="E26" s="7" t="s">
        <v>33</v>
      </c>
      <c r="F26" t="s">
        <v>34</v>
      </c>
      <c r="G26" t="s">
        <v>11</v>
      </c>
      <c r="H26" s="5">
        <v>5</v>
      </c>
      <c r="I26" s="5">
        <v>5</v>
      </c>
      <c r="J26" s="8">
        <v>655000</v>
      </c>
      <c r="K26" s="8">
        <v>665000</v>
      </c>
      <c r="L26" s="8">
        <v>620000</v>
      </c>
    </row>
    <row r="27" spans="1:12">
      <c r="A27" t="s">
        <v>143</v>
      </c>
      <c r="B27" t="s">
        <v>32</v>
      </c>
      <c r="C27" t="s">
        <v>10</v>
      </c>
      <c r="D27" s="7">
        <v>2025</v>
      </c>
      <c r="E27" s="7" t="s">
        <v>33</v>
      </c>
      <c r="F27" t="s">
        <v>34</v>
      </c>
      <c r="G27" t="s">
        <v>11</v>
      </c>
      <c r="H27" s="5">
        <v>6</v>
      </c>
      <c r="I27" s="5">
        <v>6</v>
      </c>
      <c r="J27" s="8">
        <v>635000</v>
      </c>
      <c r="K27" s="8">
        <v>660000</v>
      </c>
      <c r="L27" s="8">
        <v>620000</v>
      </c>
    </row>
    <row r="28" spans="1:12">
      <c r="A28" t="s">
        <v>144</v>
      </c>
      <c r="B28" t="s">
        <v>32</v>
      </c>
      <c r="C28" t="s">
        <v>10</v>
      </c>
      <c r="D28" s="7">
        <v>2025</v>
      </c>
      <c r="E28" s="7" t="s">
        <v>33</v>
      </c>
      <c r="F28" t="s">
        <v>34</v>
      </c>
      <c r="G28" t="s">
        <v>11</v>
      </c>
      <c r="H28" s="5">
        <v>7</v>
      </c>
      <c r="I28" s="5">
        <v>7</v>
      </c>
      <c r="J28" s="8">
        <v>630000</v>
      </c>
      <c r="K28" s="8">
        <v>650000</v>
      </c>
      <c r="L28" s="8">
        <v>620000</v>
      </c>
    </row>
    <row r="29" spans="1:12">
      <c r="A29" t="s">
        <v>145</v>
      </c>
      <c r="B29" t="s">
        <v>32</v>
      </c>
      <c r="C29" t="s">
        <v>10</v>
      </c>
      <c r="D29" s="7">
        <v>2025</v>
      </c>
      <c r="E29" s="7" t="s">
        <v>33</v>
      </c>
      <c r="F29" t="s">
        <v>34</v>
      </c>
      <c r="G29" t="s">
        <v>11</v>
      </c>
      <c r="H29" s="5">
        <v>8</v>
      </c>
      <c r="I29" s="5">
        <v>8</v>
      </c>
      <c r="J29" s="8">
        <v>635000</v>
      </c>
      <c r="K29" s="8">
        <v>665000</v>
      </c>
      <c r="L29" s="8">
        <v>620000</v>
      </c>
    </row>
    <row r="30" spans="1:12">
      <c r="A30" t="s">
        <v>146</v>
      </c>
      <c r="B30" t="s">
        <v>32</v>
      </c>
      <c r="C30" t="s">
        <v>10</v>
      </c>
      <c r="D30" s="7">
        <v>2025</v>
      </c>
      <c r="E30" s="7" t="s">
        <v>33</v>
      </c>
      <c r="F30" t="s">
        <v>34</v>
      </c>
      <c r="G30" t="s">
        <v>11</v>
      </c>
      <c r="H30" s="5">
        <v>9</v>
      </c>
      <c r="I30" s="5">
        <v>9</v>
      </c>
      <c r="J30" s="8">
        <v>640000</v>
      </c>
      <c r="K30" s="8">
        <v>650000</v>
      </c>
      <c r="L30" s="8">
        <v>620000</v>
      </c>
    </row>
    <row r="31" spans="1:12">
      <c r="A31" t="s">
        <v>147</v>
      </c>
      <c r="B31" t="s">
        <v>32</v>
      </c>
      <c r="C31" t="s">
        <v>10</v>
      </c>
      <c r="D31" s="7">
        <v>2025</v>
      </c>
      <c r="E31" s="7" t="s">
        <v>33</v>
      </c>
      <c r="F31" t="s">
        <v>34</v>
      </c>
      <c r="G31" t="s">
        <v>11</v>
      </c>
      <c r="H31" s="5">
        <v>10</v>
      </c>
      <c r="I31" s="5">
        <v>10</v>
      </c>
      <c r="J31" s="8">
        <v>635000</v>
      </c>
      <c r="K31" s="8">
        <v>662000</v>
      </c>
      <c r="L31" s="8">
        <v>620000</v>
      </c>
    </row>
    <row r="32" spans="1:12">
      <c r="A32" t="s">
        <v>148</v>
      </c>
      <c r="B32" t="s">
        <v>35</v>
      </c>
      <c r="C32" t="s">
        <v>10</v>
      </c>
      <c r="D32" s="7">
        <v>2025</v>
      </c>
      <c r="E32" s="7" t="s">
        <v>36</v>
      </c>
      <c r="F32" t="s">
        <v>37</v>
      </c>
      <c r="G32" t="s">
        <v>11</v>
      </c>
      <c r="H32" s="5">
        <v>1</v>
      </c>
      <c r="I32" s="5">
        <v>1</v>
      </c>
      <c r="J32" s="8">
        <v>670000</v>
      </c>
      <c r="K32" s="8">
        <v>660000</v>
      </c>
      <c r="L32" s="8">
        <v>654200</v>
      </c>
    </row>
    <row r="33" spans="1:12">
      <c r="A33" t="s">
        <v>149</v>
      </c>
      <c r="B33" t="s">
        <v>35</v>
      </c>
      <c r="C33" t="s">
        <v>10</v>
      </c>
      <c r="D33" s="7">
        <v>2025</v>
      </c>
      <c r="E33" s="7" t="s">
        <v>36</v>
      </c>
      <c r="F33" t="s">
        <v>37</v>
      </c>
      <c r="G33" t="s">
        <v>11</v>
      </c>
      <c r="H33" s="5">
        <v>2</v>
      </c>
      <c r="I33" s="5">
        <v>2</v>
      </c>
      <c r="J33" s="8">
        <v>675000</v>
      </c>
      <c r="K33" s="8">
        <v>665000</v>
      </c>
      <c r="L33" s="8">
        <v>654200</v>
      </c>
    </row>
    <row r="34" spans="1:12">
      <c r="A34" t="s">
        <v>150</v>
      </c>
      <c r="B34" t="s">
        <v>35</v>
      </c>
      <c r="C34" t="s">
        <v>10</v>
      </c>
      <c r="D34" s="7">
        <v>2025</v>
      </c>
      <c r="E34" s="7" t="s">
        <v>36</v>
      </c>
      <c r="F34" t="s">
        <v>37</v>
      </c>
      <c r="G34" t="s">
        <v>11</v>
      </c>
      <c r="H34" s="5">
        <v>3</v>
      </c>
      <c r="I34" s="5">
        <v>3</v>
      </c>
      <c r="J34" s="8">
        <v>680000</v>
      </c>
      <c r="K34" s="8">
        <v>675000</v>
      </c>
      <c r="L34" s="8">
        <v>654200</v>
      </c>
    </row>
    <row r="35" spans="1:12">
      <c r="A35" t="s">
        <v>151</v>
      </c>
      <c r="B35" t="s">
        <v>35</v>
      </c>
      <c r="C35" t="s">
        <v>10</v>
      </c>
      <c r="D35" s="7">
        <v>2025</v>
      </c>
      <c r="E35" s="7" t="s">
        <v>36</v>
      </c>
      <c r="F35" t="s">
        <v>37</v>
      </c>
      <c r="G35" t="s">
        <v>11</v>
      </c>
      <c r="H35" s="5">
        <v>4</v>
      </c>
      <c r="I35" s="5">
        <v>4</v>
      </c>
      <c r="J35" s="8">
        <v>685000</v>
      </c>
      <c r="K35" s="8">
        <v>680000</v>
      </c>
      <c r="L35" s="8">
        <v>654200</v>
      </c>
    </row>
    <row r="36" spans="1:12">
      <c r="A36" t="s">
        <v>152</v>
      </c>
      <c r="B36" t="s">
        <v>35</v>
      </c>
      <c r="C36" t="s">
        <v>10</v>
      </c>
      <c r="D36" s="7">
        <v>2025</v>
      </c>
      <c r="E36" s="7" t="s">
        <v>36</v>
      </c>
      <c r="F36" t="s">
        <v>37</v>
      </c>
      <c r="G36" t="s">
        <v>11</v>
      </c>
      <c r="H36" s="5">
        <v>5</v>
      </c>
      <c r="I36" s="5">
        <v>5</v>
      </c>
      <c r="J36" s="8">
        <v>680000</v>
      </c>
      <c r="K36" s="8">
        <v>660000</v>
      </c>
      <c r="L36" s="8">
        <v>654200</v>
      </c>
    </row>
    <row r="37" spans="1:12">
      <c r="A37" t="s">
        <v>153</v>
      </c>
      <c r="B37" t="s">
        <v>35</v>
      </c>
      <c r="C37" t="s">
        <v>10</v>
      </c>
      <c r="D37" s="7">
        <v>2025</v>
      </c>
      <c r="E37" s="7" t="s">
        <v>36</v>
      </c>
      <c r="F37" t="s">
        <v>37</v>
      </c>
      <c r="G37" t="s">
        <v>11</v>
      </c>
      <c r="H37" s="5">
        <v>6</v>
      </c>
      <c r="I37" s="5">
        <v>6</v>
      </c>
      <c r="J37" s="8">
        <v>660000</v>
      </c>
      <c r="K37" s="8">
        <v>665000</v>
      </c>
      <c r="L37" s="8">
        <v>654200</v>
      </c>
    </row>
    <row r="38" spans="1:12">
      <c r="A38" t="s">
        <v>154</v>
      </c>
      <c r="B38" t="s">
        <v>35</v>
      </c>
      <c r="C38" t="s">
        <v>10</v>
      </c>
      <c r="D38" s="7">
        <v>2025</v>
      </c>
      <c r="E38" s="7" t="s">
        <v>36</v>
      </c>
      <c r="F38" t="s">
        <v>37</v>
      </c>
      <c r="G38" t="s">
        <v>11</v>
      </c>
      <c r="H38" s="5">
        <v>7</v>
      </c>
      <c r="I38" s="5">
        <v>7</v>
      </c>
      <c r="J38" s="8">
        <v>675000</v>
      </c>
      <c r="K38" s="8">
        <v>665000</v>
      </c>
      <c r="L38" s="8">
        <v>654200</v>
      </c>
    </row>
    <row r="39" spans="1:12">
      <c r="A39" t="s">
        <v>155</v>
      </c>
      <c r="B39" t="s">
        <v>35</v>
      </c>
      <c r="C39" t="s">
        <v>10</v>
      </c>
      <c r="D39" s="7">
        <v>2025</v>
      </c>
      <c r="E39" s="7" t="s">
        <v>36</v>
      </c>
      <c r="F39" t="s">
        <v>37</v>
      </c>
      <c r="G39" t="s">
        <v>11</v>
      </c>
      <c r="H39" s="5">
        <v>8</v>
      </c>
      <c r="I39" s="5">
        <v>8</v>
      </c>
      <c r="J39" s="8">
        <v>680000</v>
      </c>
      <c r="K39" s="8">
        <v>670000</v>
      </c>
      <c r="L39" s="8">
        <v>654200</v>
      </c>
    </row>
    <row r="40" spans="1:12">
      <c r="A40" t="s">
        <v>156</v>
      </c>
      <c r="B40" t="s">
        <v>35</v>
      </c>
      <c r="C40" t="s">
        <v>10</v>
      </c>
      <c r="D40" s="7">
        <v>2025</v>
      </c>
      <c r="E40" s="7" t="s">
        <v>36</v>
      </c>
      <c r="F40" t="s">
        <v>37</v>
      </c>
      <c r="G40" t="s">
        <v>11</v>
      </c>
      <c r="H40" s="5">
        <v>9</v>
      </c>
      <c r="I40" s="5">
        <v>9</v>
      </c>
      <c r="J40" s="8">
        <v>680000</v>
      </c>
      <c r="K40" s="8">
        <v>670000</v>
      </c>
      <c r="L40" s="8">
        <v>654200</v>
      </c>
    </row>
    <row r="41" spans="1:12">
      <c r="A41" t="s">
        <v>157</v>
      </c>
      <c r="B41" t="s">
        <v>35</v>
      </c>
      <c r="C41" t="s">
        <v>10</v>
      </c>
      <c r="D41" s="7">
        <v>2025</v>
      </c>
      <c r="E41" s="7" t="s">
        <v>36</v>
      </c>
      <c r="F41" t="s">
        <v>37</v>
      </c>
      <c r="G41" t="s">
        <v>11</v>
      </c>
      <c r="H41" s="5">
        <v>10</v>
      </c>
      <c r="I41" s="5">
        <v>10</v>
      </c>
      <c r="J41" s="8">
        <v>675000</v>
      </c>
      <c r="K41" s="8">
        <v>680000</v>
      </c>
      <c r="L41" s="8">
        <v>654200</v>
      </c>
    </row>
    <row r="42" spans="1:12">
      <c r="A42" t="s">
        <v>158</v>
      </c>
      <c r="B42" t="s">
        <v>38</v>
      </c>
      <c r="C42" t="s">
        <v>10</v>
      </c>
      <c r="D42" s="7">
        <v>2025</v>
      </c>
      <c r="E42" s="7" t="s">
        <v>39</v>
      </c>
      <c r="F42" t="s">
        <v>40</v>
      </c>
      <c r="G42" t="s">
        <v>11</v>
      </c>
      <c r="H42" s="5">
        <v>1</v>
      </c>
      <c r="I42" s="5">
        <v>11</v>
      </c>
      <c r="J42" s="8">
        <v>895000</v>
      </c>
      <c r="K42" s="8">
        <v>910000</v>
      </c>
      <c r="L42" s="8">
        <v>910000</v>
      </c>
    </row>
    <row r="43" spans="1:12">
      <c r="A43" t="s">
        <v>159</v>
      </c>
      <c r="B43" t="s">
        <v>38</v>
      </c>
      <c r="C43" t="s">
        <v>10</v>
      </c>
      <c r="D43" s="7">
        <v>2025</v>
      </c>
      <c r="E43" s="7" t="s">
        <v>39</v>
      </c>
      <c r="F43" t="s">
        <v>40</v>
      </c>
      <c r="G43" t="s">
        <v>11</v>
      </c>
      <c r="H43" s="5">
        <v>2</v>
      </c>
      <c r="I43" s="5">
        <v>2</v>
      </c>
      <c r="J43" s="8">
        <v>880000</v>
      </c>
      <c r="K43" s="8">
        <v>905000</v>
      </c>
      <c r="L43" s="8">
        <v>910000</v>
      </c>
    </row>
    <row r="44" spans="1:12">
      <c r="A44" t="s">
        <v>160</v>
      </c>
      <c r="B44" t="s">
        <v>38</v>
      </c>
      <c r="C44" t="s">
        <v>10</v>
      </c>
      <c r="D44" s="7">
        <v>2025</v>
      </c>
      <c r="E44" s="7" t="s">
        <v>39</v>
      </c>
      <c r="F44" t="s">
        <v>40</v>
      </c>
      <c r="G44" t="s">
        <v>11</v>
      </c>
      <c r="H44" s="5">
        <v>3</v>
      </c>
      <c r="I44" s="5">
        <v>12</v>
      </c>
      <c r="J44" s="8">
        <v>890000</v>
      </c>
      <c r="K44" s="8">
        <v>910000</v>
      </c>
      <c r="L44" s="8">
        <v>910000</v>
      </c>
    </row>
    <row r="45" spans="1:12">
      <c r="A45" t="s">
        <v>161</v>
      </c>
      <c r="B45" t="s">
        <v>38</v>
      </c>
      <c r="C45" t="s">
        <v>10</v>
      </c>
      <c r="D45" s="7">
        <v>2025</v>
      </c>
      <c r="E45" s="7" t="s">
        <v>39</v>
      </c>
      <c r="F45" t="s">
        <v>40</v>
      </c>
      <c r="G45" t="s">
        <v>11</v>
      </c>
      <c r="H45" s="5">
        <v>4</v>
      </c>
      <c r="I45" s="5">
        <v>4</v>
      </c>
      <c r="J45" s="8">
        <v>895000</v>
      </c>
      <c r="K45" s="8">
        <v>905000</v>
      </c>
      <c r="L45" s="8">
        <v>910000</v>
      </c>
    </row>
    <row r="46" spans="1:12">
      <c r="A46" t="s">
        <v>162</v>
      </c>
      <c r="B46" t="s">
        <v>38</v>
      </c>
      <c r="C46" t="s">
        <v>10</v>
      </c>
      <c r="D46" s="7">
        <v>2025</v>
      </c>
      <c r="E46" s="7" t="s">
        <v>39</v>
      </c>
      <c r="F46" t="s">
        <v>40</v>
      </c>
      <c r="G46" t="s">
        <v>11</v>
      </c>
      <c r="H46" s="5">
        <v>5</v>
      </c>
      <c r="I46" s="5">
        <v>5</v>
      </c>
      <c r="J46" s="8">
        <v>895000</v>
      </c>
      <c r="K46" s="8">
        <v>910000</v>
      </c>
      <c r="L46" s="8">
        <v>910000</v>
      </c>
    </row>
    <row r="47" spans="1:12">
      <c r="A47" t="s">
        <v>163</v>
      </c>
      <c r="B47" t="s">
        <v>38</v>
      </c>
      <c r="C47" t="s">
        <v>10</v>
      </c>
      <c r="D47" s="7">
        <v>2025</v>
      </c>
      <c r="E47" s="7" t="s">
        <v>39</v>
      </c>
      <c r="F47" t="s">
        <v>40</v>
      </c>
      <c r="G47" t="s">
        <v>11</v>
      </c>
      <c r="H47" s="5">
        <v>6</v>
      </c>
      <c r="I47" s="5">
        <v>6</v>
      </c>
      <c r="J47" s="8">
        <v>900000</v>
      </c>
      <c r="K47" s="8">
        <v>910000</v>
      </c>
      <c r="L47" s="8">
        <v>910000</v>
      </c>
    </row>
    <row r="48" spans="1:12">
      <c r="A48" t="s">
        <v>164</v>
      </c>
      <c r="B48" t="s">
        <v>38</v>
      </c>
      <c r="C48" t="s">
        <v>10</v>
      </c>
      <c r="D48" s="7">
        <v>2025</v>
      </c>
      <c r="E48" s="7" t="s">
        <v>39</v>
      </c>
      <c r="F48" t="s">
        <v>40</v>
      </c>
      <c r="G48" t="s">
        <v>11</v>
      </c>
      <c r="H48" s="5">
        <v>7</v>
      </c>
      <c r="I48" s="5">
        <v>7</v>
      </c>
      <c r="J48" s="8">
        <v>890000</v>
      </c>
      <c r="K48" s="8">
        <v>900000</v>
      </c>
      <c r="L48" s="8">
        <v>910000</v>
      </c>
    </row>
    <row r="49" spans="1:12">
      <c r="A49" t="s">
        <v>165</v>
      </c>
      <c r="B49" t="s">
        <v>38</v>
      </c>
      <c r="C49" t="s">
        <v>10</v>
      </c>
      <c r="D49" s="7">
        <v>2025</v>
      </c>
      <c r="E49" s="7" t="s">
        <v>39</v>
      </c>
      <c r="F49" t="s">
        <v>40</v>
      </c>
      <c r="G49" t="s">
        <v>11</v>
      </c>
      <c r="H49" s="5">
        <v>8</v>
      </c>
      <c r="I49" s="5">
        <v>8</v>
      </c>
      <c r="J49" s="8">
        <v>875000</v>
      </c>
      <c r="K49" s="8">
        <v>900000</v>
      </c>
      <c r="L49" s="8">
        <v>910000</v>
      </c>
    </row>
    <row r="50" spans="1:12">
      <c r="A50" t="s">
        <v>166</v>
      </c>
      <c r="B50" t="s">
        <v>38</v>
      </c>
      <c r="C50" t="s">
        <v>10</v>
      </c>
      <c r="D50" s="7">
        <v>2025</v>
      </c>
      <c r="E50" s="7" t="s">
        <v>39</v>
      </c>
      <c r="F50" t="s">
        <v>40</v>
      </c>
      <c r="G50" t="s">
        <v>11</v>
      </c>
      <c r="H50" s="5">
        <v>9</v>
      </c>
      <c r="I50" s="5">
        <v>9</v>
      </c>
      <c r="J50" s="8">
        <v>895000</v>
      </c>
      <c r="K50" s="8">
        <v>900000</v>
      </c>
      <c r="L50" s="8">
        <v>910000</v>
      </c>
    </row>
    <row r="51" spans="1:12">
      <c r="A51" t="s">
        <v>167</v>
      </c>
      <c r="B51" t="s">
        <v>38</v>
      </c>
      <c r="C51" t="s">
        <v>10</v>
      </c>
      <c r="D51" s="7">
        <v>2025</v>
      </c>
      <c r="E51" s="7" t="s">
        <v>39</v>
      </c>
      <c r="F51" t="s">
        <v>40</v>
      </c>
      <c r="G51" t="s">
        <v>11</v>
      </c>
      <c r="H51" s="5">
        <v>10</v>
      </c>
      <c r="I51" s="5">
        <v>10</v>
      </c>
      <c r="J51" s="8">
        <v>870000</v>
      </c>
      <c r="K51" s="8">
        <v>900000</v>
      </c>
      <c r="L51" s="8">
        <v>910000</v>
      </c>
    </row>
    <row r="52" spans="1:12">
      <c r="A52" t="s">
        <v>168</v>
      </c>
      <c r="B52" t="s">
        <v>41</v>
      </c>
      <c r="C52" t="s">
        <v>10</v>
      </c>
      <c r="D52" s="7">
        <v>2025</v>
      </c>
      <c r="E52" s="7" t="s">
        <v>42</v>
      </c>
      <c r="F52" t="s">
        <v>43</v>
      </c>
      <c r="G52" t="s">
        <v>11</v>
      </c>
      <c r="H52" s="5">
        <v>1</v>
      </c>
      <c r="I52" s="5">
        <v>1</v>
      </c>
      <c r="J52" s="8">
        <v>610000</v>
      </c>
      <c r="K52" s="8">
        <v>610000</v>
      </c>
      <c r="L52" s="8">
        <v>580000</v>
      </c>
    </row>
    <row r="53" spans="1:12">
      <c r="A53" t="s">
        <v>169</v>
      </c>
      <c r="B53" t="s">
        <v>41</v>
      </c>
      <c r="C53" t="s">
        <v>10</v>
      </c>
      <c r="D53" s="7">
        <v>2025</v>
      </c>
      <c r="E53" s="7" t="s">
        <v>42</v>
      </c>
      <c r="F53" t="s">
        <v>43</v>
      </c>
      <c r="G53" t="s">
        <v>11</v>
      </c>
      <c r="H53" s="5">
        <v>2</v>
      </c>
      <c r="I53" s="5">
        <v>2</v>
      </c>
      <c r="J53" s="8">
        <v>630000</v>
      </c>
      <c r="K53" s="8">
        <v>620000</v>
      </c>
      <c r="L53" s="8">
        <v>580000</v>
      </c>
    </row>
    <row r="54" spans="1:12">
      <c r="A54" t="s">
        <v>170</v>
      </c>
      <c r="B54" t="s">
        <v>41</v>
      </c>
      <c r="C54" t="s">
        <v>10</v>
      </c>
      <c r="D54" s="7">
        <v>2025</v>
      </c>
      <c r="E54" s="7" t="s">
        <v>42</v>
      </c>
      <c r="F54" t="s">
        <v>43</v>
      </c>
      <c r="G54" t="s">
        <v>11</v>
      </c>
      <c r="H54" s="5">
        <v>3</v>
      </c>
      <c r="I54" s="5">
        <v>3</v>
      </c>
      <c r="J54" s="8">
        <v>625000</v>
      </c>
      <c r="K54" s="8">
        <v>615000</v>
      </c>
      <c r="L54" s="8">
        <v>580000</v>
      </c>
    </row>
    <row r="55" spans="1:12">
      <c r="A55" t="s">
        <v>171</v>
      </c>
      <c r="B55" t="s">
        <v>41</v>
      </c>
      <c r="C55" t="s">
        <v>10</v>
      </c>
      <c r="D55" s="7">
        <v>2025</v>
      </c>
      <c r="E55" s="7" t="s">
        <v>42</v>
      </c>
      <c r="F55" t="s">
        <v>43</v>
      </c>
      <c r="G55" t="s">
        <v>11</v>
      </c>
      <c r="H55" s="5">
        <v>4</v>
      </c>
      <c r="I55" s="5">
        <v>4</v>
      </c>
      <c r="J55" s="8">
        <v>630000</v>
      </c>
      <c r="K55" s="8">
        <v>625000</v>
      </c>
      <c r="L55" s="8">
        <v>580000</v>
      </c>
    </row>
    <row r="56" spans="1:12">
      <c r="A56" t="s">
        <v>172</v>
      </c>
      <c r="B56" t="s">
        <v>41</v>
      </c>
      <c r="C56" t="s">
        <v>10</v>
      </c>
      <c r="D56" s="7">
        <v>2025</v>
      </c>
      <c r="E56" s="7" t="s">
        <v>42</v>
      </c>
      <c r="F56" t="s">
        <v>43</v>
      </c>
      <c r="G56" t="s">
        <v>11</v>
      </c>
      <c r="H56" s="5">
        <v>5</v>
      </c>
      <c r="I56" s="5">
        <v>5</v>
      </c>
      <c r="J56" s="8">
        <v>625000</v>
      </c>
      <c r="K56" s="8">
        <v>615000</v>
      </c>
      <c r="L56" s="8">
        <v>580000</v>
      </c>
    </row>
    <row r="57" spans="1:12">
      <c r="A57" t="s">
        <v>173</v>
      </c>
      <c r="B57" t="s">
        <v>41</v>
      </c>
      <c r="C57" t="s">
        <v>10</v>
      </c>
      <c r="D57" s="7">
        <v>2025</v>
      </c>
      <c r="E57" s="7" t="s">
        <v>42</v>
      </c>
      <c r="F57" t="s">
        <v>43</v>
      </c>
      <c r="G57" t="s">
        <v>11</v>
      </c>
      <c r="H57" s="5">
        <v>6</v>
      </c>
      <c r="I57" s="5">
        <v>6</v>
      </c>
      <c r="J57" s="8">
        <v>612000</v>
      </c>
      <c r="K57" s="8">
        <v>615000</v>
      </c>
      <c r="L57" s="8">
        <v>580000</v>
      </c>
    </row>
    <row r="58" spans="1:12">
      <c r="A58" t="s">
        <v>174</v>
      </c>
      <c r="B58" t="s">
        <v>41</v>
      </c>
      <c r="C58" t="s">
        <v>10</v>
      </c>
      <c r="D58" s="7">
        <v>2025</v>
      </c>
      <c r="E58" s="7" t="s">
        <v>42</v>
      </c>
      <c r="F58" t="s">
        <v>43</v>
      </c>
      <c r="G58" t="s">
        <v>11</v>
      </c>
      <c r="H58" s="5">
        <v>7</v>
      </c>
      <c r="I58" s="5">
        <v>7</v>
      </c>
      <c r="J58" s="8">
        <v>635000</v>
      </c>
      <c r="K58" s="8">
        <v>620000</v>
      </c>
      <c r="L58" s="8">
        <v>580000</v>
      </c>
    </row>
    <row r="59" spans="1:12">
      <c r="A59" t="s">
        <v>175</v>
      </c>
      <c r="B59" t="s">
        <v>41</v>
      </c>
      <c r="C59" t="s">
        <v>10</v>
      </c>
      <c r="D59" s="7">
        <v>2025</v>
      </c>
      <c r="E59" s="7" t="s">
        <v>42</v>
      </c>
      <c r="F59" t="s">
        <v>43</v>
      </c>
      <c r="G59" t="s">
        <v>11</v>
      </c>
      <c r="H59" s="5">
        <v>8</v>
      </c>
      <c r="I59" s="5">
        <v>8</v>
      </c>
      <c r="J59" s="8">
        <v>615000</v>
      </c>
      <c r="K59" s="8">
        <v>605000</v>
      </c>
      <c r="L59" s="8">
        <v>580000</v>
      </c>
    </row>
    <row r="60" spans="1:12">
      <c r="A60" t="s">
        <v>176</v>
      </c>
      <c r="B60" t="s">
        <v>41</v>
      </c>
      <c r="C60" t="s">
        <v>10</v>
      </c>
      <c r="D60" s="7">
        <v>2025</v>
      </c>
      <c r="E60" s="7" t="s">
        <v>42</v>
      </c>
      <c r="F60" t="s">
        <v>43</v>
      </c>
      <c r="G60" t="s">
        <v>11</v>
      </c>
      <c r="H60" s="5">
        <v>9</v>
      </c>
      <c r="I60" s="5">
        <v>9</v>
      </c>
      <c r="J60" s="8">
        <v>625000</v>
      </c>
      <c r="K60" s="8">
        <v>615000</v>
      </c>
      <c r="L60" s="8">
        <v>580000</v>
      </c>
    </row>
    <row r="61" spans="1:12">
      <c r="A61" t="s">
        <v>177</v>
      </c>
      <c r="B61" t="s">
        <v>41</v>
      </c>
      <c r="C61" t="s">
        <v>10</v>
      </c>
      <c r="D61" s="7">
        <v>2025</v>
      </c>
      <c r="E61" s="7" t="s">
        <v>42</v>
      </c>
      <c r="F61" t="s">
        <v>43</v>
      </c>
      <c r="G61" t="s">
        <v>11</v>
      </c>
      <c r="H61" s="5">
        <v>10</v>
      </c>
      <c r="I61" s="5">
        <v>10</v>
      </c>
      <c r="J61" s="8">
        <v>610000</v>
      </c>
      <c r="K61" s="8">
        <v>605000</v>
      </c>
      <c r="L61" s="8">
        <v>580000</v>
      </c>
    </row>
    <row r="62" spans="1:12">
      <c r="A62" t="s">
        <v>178</v>
      </c>
      <c r="B62" t="s">
        <v>44</v>
      </c>
      <c r="C62" t="s">
        <v>10</v>
      </c>
      <c r="D62" s="7">
        <v>2025</v>
      </c>
      <c r="E62" s="7" t="s">
        <v>45</v>
      </c>
      <c r="F62" t="s">
        <v>46</v>
      </c>
      <c r="G62" t="s">
        <v>11</v>
      </c>
      <c r="H62" s="5">
        <v>1</v>
      </c>
      <c r="I62" s="5">
        <v>1</v>
      </c>
      <c r="J62" s="8">
        <v>815000</v>
      </c>
      <c r="K62" s="8">
        <v>820000</v>
      </c>
      <c r="L62" s="8">
        <v>815000</v>
      </c>
    </row>
    <row r="63" spans="1:12">
      <c r="A63" t="s">
        <v>179</v>
      </c>
      <c r="B63" t="s">
        <v>44</v>
      </c>
      <c r="C63" t="s">
        <v>10</v>
      </c>
      <c r="D63" s="7">
        <v>2025</v>
      </c>
      <c r="E63" s="7" t="s">
        <v>45</v>
      </c>
      <c r="F63" t="s">
        <v>46</v>
      </c>
      <c r="G63" t="s">
        <v>11</v>
      </c>
      <c r="H63" s="5">
        <v>2</v>
      </c>
      <c r="I63" s="5">
        <v>2</v>
      </c>
      <c r="J63" s="8">
        <v>825000</v>
      </c>
      <c r="K63" s="8">
        <v>820000</v>
      </c>
      <c r="L63" s="8">
        <v>815000</v>
      </c>
    </row>
    <row r="64" spans="1:12">
      <c r="A64" t="s">
        <v>180</v>
      </c>
      <c r="B64" t="s">
        <v>44</v>
      </c>
      <c r="C64" t="s">
        <v>10</v>
      </c>
      <c r="D64" s="7">
        <v>2025</v>
      </c>
      <c r="E64" s="7" t="s">
        <v>45</v>
      </c>
      <c r="F64" t="s">
        <v>46</v>
      </c>
      <c r="G64" t="s">
        <v>11</v>
      </c>
      <c r="H64" s="5">
        <v>3</v>
      </c>
      <c r="I64" s="5">
        <v>3</v>
      </c>
      <c r="J64" s="8">
        <v>800000</v>
      </c>
      <c r="K64" s="8">
        <v>795000</v>
      </c>
      <c r="L64" s="8">
        <v>815000</v>
      </c>
    </row>
    <row r="65" spans="1:12">
      <c r="A65" t="s">
        <v>181</v>
      </c>
      <c r="B65" t="s">
        <v>44</v>
      </c>
      <c r="C65" t="s">
        <v>10</v>
      </c>
      <c r="D65" s="7">
        <v>2025</v>
      </c>
      <c r="E65" s="7" t="s">
        <v>45</v>
      </c>
      <c r="F65" t="s">
        <v>46</v>
      </c>
      <c r="G65" t="s">
        <v>11</v>
      </c>
      <c r="H65" s="5">
        <v>4</v>
      </c>
      <c r="I65" s="5">
        <v>4</v>
      </c>
      <c r="J65" s="8">
        <v>795000</v>
      </c>
      <c r="K65" s="8">
        <v>800000</v>
      </c>
      <c r="L65" s="8">
        <v>815000</v>
      </c>
    </row>
    <row r="66" spans="1:12">
      <c r="A66" t="s">
        <v>182</v>
      </c>
      <c r="B66" t="s">
        <v>44</v>
      </c>
      <c r="C66" t="s">
        <v>10</v>
      </c>
      <c r="D66" s="7">
        <v>2025</v>
      </c>
      <c r="E66" s="7" t="s">
        <v>45</v>
      </c>
      <c r="F66" t="s">
        <v>46</v>
      </c>
      <c r="G66" t="s">
        <v>11</v>
      </c>
      <c r="H66" s="5">
        <v>5</v>
      </c>
      <c r="I66" s="5">
        <v>5</v>
      </c>
      <c r="J66" s="8">
        <v>815000</v>
      </c>
      <c r="K66" s="8">
        <v>810000</v>
      </c>
      <c r="L66" s="8">
        <v>815000</v>
      </c>
    </row>
    <row r="67" spans="1:12">
      <c r="A67" t="s">
        <v>183</v>
      </c>
      <c r="B67" t="s">
        <v>44</v>
      </c>
      <c r="C67" t="s">
        <v>10</v>
      </c>
      <c r="D67" s="7">
        <v>2025</v>
      </c>
      <c r="E67" s="7" t="s">
        <v>45</v>
      </c>
      <c r="F67" t="s">
        <v>46</v>
      </c>
      <c r="G67" t="s">
        <v>11</v>
      </c>
      <c r="H67" s="5">
        <v>6</v>
      </c>
      <c r="I67" s="5">
        <v>11</v>
      </c>
      <c r="J67" s="8">
        <v>810000</v>
      </c>
      <c r="K67" s="8">
        <v>805000</v>
      </c>
      <c r="L67" s="8">
        <v>815000</v>
      </c>
    </row>
    <row r="68" spans="1:12">
      <c r="A68" t="s">
        <v>184</v>
      </c>
      <c r="B68" t="s">
        <v>44</v>
      </c>
      <c r="C68" t="s">
        <v>10</v>
      </c>
      <c r="D68" s="7">
        <v>2025</v>
      </c>
      <c r="E68" s="7" t="s">
        <v>45</v>
      </c>
      <c r="F68" t="s">
        <v>46</v>
      </c>
      <c r="G68" t="s">
        <v>11</v>
      </c>
      <c r="H68" s="5">
        <v>7</v>
      </c>
      <c r="I68" s="5">
        <v>7</v>
      </c>
      <c r="J68" s="8">
        <v>820000</v>
      </c>
      <c r="K68" s="8">
        <v>815000</v>
      </c>
      <c r="L68" s="8">
        <v>815000</v>
      </c>
    </row>
    <row r="69" spans="1:12">
      <c r="A69" t="s">
        <v>185</v>
      </c>
      <c r="B69" t="s">
        <v>44</v>
      </c>
      <c r="C69" t="s">
        <v>10</v>
      </c>
      <c r="D69" s="7">
        <v>2025</v>
      </c>
      <c r="E69" s="7" t="s">
        <v>45</v>
      </c>
      <c r="F69" t="s">
        <v>46</v>
      </c>
      <c r="G69" t="s">
        <v>11</v>
      </c>
      <c r="H69" s="5">
        <v>8</v>
      </c>
      <c r="I69" s="5">
        <v>8</v>
      </c>
      <c r="J69" s="8">
        <v>810000</v>
      </c>
      <c r="K69" s="8">
        <v>815000</v>
      </c>
      <c r="L69" s="8">
        <v>815000</v>
      </c>
    </row>
    <row r="70" spans="1:12">
      <c r="A70" t="s">
        <v>186</v>
      </c>
      <c r="B70" t="s">
        <v>44</v>
      </c>
      <c r="C70" t="s">
        <v>10</v>
      </c>
      <c r="D70" s="7">
        <v>2025</v>
      </c>
      <c r="E70" s="7" t="s">
        <v>45</v>
      </c>
      <c r="F70" t="s">
        <v>46</v>
      </c>
      <c r="G70" t="s">
        <v>11</v>
      </c>
      <c r="H70" s="5">
        <v>9</v>
      </c>
      <c r="I70" s="5">
        <v>9</v>
      </c>
      <c r="J70" s="8">
        <v>835000</v>
      </c>
      <c r="K70" s="8">
        <v>820000</v>
      </c>
      <c r="L70" s="8">
        <v>815000</v>
      </c>
    </row>
    <row r="71" spans="1:12">
      <c r="A71" t="s">
        <v>187</v>
      </c>
      <c r="B71" t="s">
        <v>44</v>
      </c>
      <c r="C71" t="s">
        <v>10</v>
      </c>
      <c r="D71" s="7">
        <v>2025</v>
      </c>
      <c r="E71" s="7" t="s">
        <v>45</v>
      </c>
      <c r="F71" t="s">
        <v>46</v>
      </c>
      <c r="G71" t="s">
        <v>11</v>
      </c>
      <c r="H71" s="5">
        <v>10</v>
      </c>
      <c r="I71" s="5">
        <v>12</v>
      </c>
      <c r="J71" s="8">
        <v>800000</v>
      </c>
      <c r="K71" s="8">
        <v>810000</v>
      </c>
      <c r="L71" s="8">
        <v>815000</v>
      </c>
    </row>
    <row r="72" spans="1:12">
      <c r="A72" t="s">
        <v>188</v>
      </c>
      <c r="B72" t="s">
        <v>47</v>
      </c>
      <c r="C72" t="s">
        <v>10</v>
      </c>
      <c r="D72" s="7">
        <v>2025</v>
      </c>
      <c r="E72" s="7" t="s">
        <v>48</v>
      </c>
      <c r="F72" t="s">
        <v>49</v>
      </c>
      <c r="G72" t="s">
        <v>11</v>
      </c>
      <c r="H72" s="5">
        <v>1</v>
      </c>
      <c r="I72" s="5">
        <v>1</v>
      </c>
      <c r="J72" s="8">
        <v>875000</v>
      </c>
      <c r="K72" s="8">
        <v>860000</v>
      </c>
      <c r="L72" s="8">
        <v>845000</v>
      </c>
    </row>
    <row r="73" spans="1:12">
      <c r="A73" t="s">
        <v>189</v>
      </c>
      <c r="B73" t="s">
        <v>47</v>
      </c>
      <c r="C73" t="s">
        <v>10</v>
      </c>
      <c r="D73" s="7">
        <v>2025</v>
      </c>
      <c r="E73" s="7" t="s">
        <v>48</v>
      </c>
      <c r="F73" t="s">
        <v>49</v>
      </c>
      <c r="G73" t="s">
        <v>11</v>
      </c>
      <c r="H73" s="5">
        <v>2</v>
      </c>
      <c r="I73" s="5">
        <v>2</v>
      </c>
      <c r="J73" s="8">
        <v>895000</v>
      </c>
      <c r="K73" s="8">
        <v>870000</v>
      </c>
      <c r="L73" s="8">
        <v>845000</v>
      </c>
    </row>
    <row r="74" spans="1:12">
      <c r="A74" t="s">
        <v>190</v>
      </c>
      <c r="B74" t="s">
        <v>47</v>
      </c>
      <c r="C74" t="s">
        <v>10</v>
      </c>
      <c r="D74" s="7">
        <v>2025</v>
      </c>
      <c r="E74" s="7" t="s">
        <v>48</v>
      </c>
      <c r="F74" t="s">
        <v>49</v>
      </c>
      <c r="G74" t="s">
        <v>11</v>
      </c>
      <c r="H74" s="5">
        <v>3</v>
      </c>
      <c r="I74" s="5">
        <v>3</v>
      </c>
      <c r="J74" s="8">
        <v>885000</v>
      </c>
      <c r="K74" s="8">
        <v>865000</v>
      </c>
      <c r="L74" s="8">
        <v>845000</v>
      </c>
    </row>
    <row r="75" spans="1:12">
      <c r="A75" t="s">
        <v>191</v>
      </c>
      <c r="B75" t="s">
        <v>47</v>
      </c>
      <c r="C75" t="s">
        <v>10</v>
      </c>
      <c r="D75" s="7">
        <v>2025</v>
      </c>
      <c r="E75" s="7" t="s">
        <v>48</v>
      </c>
      <c r="F75" t="s">
        <v>49</v>
      </c>
      <c r="G75" t="s">
        <v>11</v>
      </c>
      <c r="H75" s="5">
        <v>4</v>
      </c>
      <c r="I75" s="5">
        <v>11</v>
      </c>
      <c r="J75" s="8">
        <v>885000</v>
      </c>
      <c r="K75" s="8">
        <v>865000</v>
      </c>
      <c r="L75" s="8">
        <v>845000</v>
      </c>
    </row>
    <row r="76" spans="1:12">
      <c r="A76" t="s">
        <v>192</v>
      </c>
      <c r="B76" t="s">
        <v>47</v>
      </c>
      <c r="C76" t="s">
        <v>10</v>
      </c>
      <c r="D76" s="7">
        <v>2025</v>
      </c>
      <c r="E76" s="7" t="s">
        <v>48</v>
      </c>
      <c r="F76" t="s">
        <v>49</v>
      </c>
      <c r="G76" t="s">
        <v>11</v>
      </c>
      <c r="H76" s="5">
        <v>5</v>
      </c>
      <c r="I76" s="5">
        <v>5</v>
      </c>
      <c r="J76" s="8">
        <v>890000</v>
      </c>
      <c r="K76" s="8">
        <v>865000</v>
      </c>
      <c r="L76" s="8">
        <v>845000</v>
      </c>
    </row>
    <row r="77" spans="1:12">
      <c r="A77" t="s">
        <v>193</v>
      </c>
      <c r="B77" t="s">
        <v>47</v>
      </c>
      <c r="C77" t="s">
        <v>10</v>
      </c>
      <c r="D77" s="7">
        <v>2025</v>
      </c>
      <c r="E77" s="7" t="s">
        <v>48</v>
      </c>
      <c r="F77" t="s">
        <v>49</v>
      </c>
      <c r="G77" t="s">
        <v>11</v>
      </c>
      <c r="H77" s="5">
        <v>6</v>
      </c>
      <c r="I77" s="5">
        <v>6</v>
      </c>
      <c r="J77" s="8">
        <v>885000</v>
      </c>
      <c r="K77" s="8">
        <v>865000</v>
      </c>
      <c r="L77" s="8">
        <v>845000</v>
      </c>
    </row>
    <row r="78" spans="1:12">
      <c r="A78" t="s">
        <v>194</v>
      </c>
      <c r="B78" t="s">
        <v>47</v>
      </c>
      <c r="C78" t="s">
        <v>10</v>
      </c>
      <c r="D78" s="7">
        <v>2025</v>
      </c>
      <c r="E78" s="7" t="s">
        <v>48</v>
      </c>
      <c r="F78" t="s">
        <v>49</v>
      </c>
      <c r="G78" t="s">
        <v>11</v>
      </c>
      <c r="H78" s="5">
        <v>7</v>
      </c>
      <c r="I78" s="5">
        <v>12</v>
      </c>
      <c r="J78" s="8">
        <v>855000</v>
      </c>
      <c r="K78" s="8">
        <v>860000</v>
      </c>
      <c r="L78" s="8">
        <v>845000</v>
      </c>
    </row>
    <row r="79" spans="1:12">
      <c r="A79" t="s">
        <v>195</v>
      </c>
      <c r="B79" t="s">
        <v>47</v>
      </c>
      <c r="C79" t="s">
        <v>10</v>
      </c>
      <c r="D79" s="7">
        <v>2025</v>
      </c>
      <c r="E79" s="7" t="s">
        <v>48</v>
      </c>
      <c r="F79" t="s">
        <v>49</v>
      </c>
      <c r="G79" t="s">
        <v>11</v>
      </c>
      <c r="H79" s="5">
        <v>8</v>
      </c>
      <c r="I79" s="5">
        <v>8</v>
      </c>
      <c r="J79" s="8">
        <v>880000</v>
      </c>
      <c r="K79" s="8">
        <v>870000</v>
      </c>
      <c r="L79" s="8">
        <v>845000</v>
      </c>
    </row>
    <row r="80" spans="1:12">
      <c r="A80" t="s">
        <v>196</v>
      </c>
      <c r="B80" t="s">
        <v>47</v>
      </c>
      <c r="C80" t="s">
        <v>10</v>
      </c>
      <c r="D80" s="7">
        <v>2025</v>
      </c>
      <c r="E80" s="7" t="s">
        <v>48</v>
      </c>
      <c r="F80" t="s">
        <v>49</v>
      </c>
      <c r="G80" t="s">
        <v>11</v>
      </c>
      <c r="H80" s="5">
        <v>9</v>
      </c>
      <c r="I80" s="5">
        <v>9</v>
      </c>
      <c r="J80" s="8">
        <v>885000</v>
      </c>
      <c r="K80" s="8">
        <v>872500</v>
      </c>
      <c r="L80" s="8">
        <v>845000</v>
      </c>
    </row>
    <row r="81" spans="1:12">
      <c r="A81" t="s">
        <v>197</v>
      </c>
      <c r="B81" t="s">
        <v>47</v>
      </c>
      <c r="C81" t="s">
        <v>10</v>
      </c>
      <c r="D81" s="7">
        <v>2025</v>
      </c>
      <c r="E81" s="7" t="s">
        <v>48</v>
      </c>
      <c r="F81" t="s">
        <v>49</v>
      </c>
      <c r="G81" t="s">
        <v>11</v>
      </c>
      <c r="H81" s="5">
        <v>10</v>
      </c>
      <c r="I81" s="5">
        <v>10</v>
      </c>
      <c r="J81" s="8">
        <v>875000</v>
      </c>
      <c r="K81" s="8">
        <v>860000</v>
      </c>
      <c r="L81" s="8">
        <v>845000</v>
      </c>
    </row>
    <row r="82" spans="1:12">
      <c r="A82" t="s">
        <v>198</v>
      </c>
      <c r="B82" t="s">
        <v>50</v>
      </c>
      <c r="C82" t="s">
        <v>10</v>
      </c>
      <c r="D82" s="7">
        <v>2025</v>
      </c>
      <c r="E82" s="7" t="s">
        <v>51</v>
      </c>
      <c r="F82" t="s">
        <v>52</v>
      </c>
      <c r="G82" t="s">
        <v>11</v>
      </c>
      <c r="H82" s="5">
        <v>1</v>
      </c>
      <c r="I82" s="5">
        <v>1</v>
      </c>
      <c r="J82" s="8">
        <v>670000</v>
      </c>
      <c r="K82" s="8">
        <v>655000</v>
      </c>
      <c r="L82" s="8">
        <v>610000</v>
      </c>
    </row>
    <row r="83" spans="1:12">
      <c r="A83" t="s">
        <v>199</v>
      </c>
      <c r="B83" t="s">
        <v>50</v>
      </c>
      <c r="C83" t="s">
        <v>10</v>
      </c>
      <c r="D83" s="7">
        <v>2025</v>
      </c>
      <c r="E83" s="7" t="s">
        <v>51</v>
      </c>
      <c r="F83" t="s">
        <v>52</v>
      </c>
      <c r="G83" t="s">
        <v>11</v>
      </c>
      <c r="H83" s="5">
        <v>2</v>
      </c>
      <c r="I83" s="5">
        <v>2</v>
      </c>
      <c r="J83" s="8">
        <v>680000</v>
      </c>
      <c r="K83" s="8">
        <v>655000</v>
      </c>
      <c r="L83" s="8">
        <v>610000</v>
      </c>
    </row>
    <row r="84" spans="1:12">
      <c r="A84" t="s">
        <v>200</v>
      </c>
      <c r="B84" t="s">
        <v>50</v>
      </c>
      <c r="C84" t="s">
        <v>10</v>
      </c>
      <c r="D84" s="7">
        <v>2025</v>
      </c>
      <c r="E84" s="7" t="s">
        <v>51</v>
      </c>
      <c r="F84" t="s">
        <v>52</v>
      </c>
      <c r="G84" t="s">
        <v>11</v>
      </c>
      <c r="H84" s="5">
        <v>3</v>
      </c>
      <c r="I84" s="5">
        <v>3</v>
      </c>
      <c r="J84" s="8">
        <v>725000</v>
      </c>
      <c r="K84" s="8">
        <v>685000</v>
      </c>
      <c r="L84" s="8">
        <v>610000</v>
      </c>
    </row>
    <row r="85" spans="1:12">
      <c r="A85" t="s">
        <v>201</v>
      </c>
      <c r="B85" t="s">
        <v>50</v>
      </c>
      <c r="C85" t="s">
        <v>10</v>
      </c>
      <c r="D85" s="7">
        <v>2025</v>
      </c>
      <c r="E85" s="7" t="s">
        <v>51</v>
      </c>
      <c r="F85" t="s">
        <v>52</v>
      </c>
      <c r="G85" t="s">
        <v>11</v>
      </c>
      <c r="H85" s="5">
        <v>4</v>
      </c>
      <c r="I85" s="5">
        <v>4</v>
      </c>
      <c r="J85" s="8">
        <v>655000</v>
      </c>
      <c r="K85" s="8">
        <v>660000</v>
      </c>
      <c r="L85" s="8">
        <v>610000</v>
      </c>
    </row>
    <row r="86" spans="1:12">
      <c r="A86" t="s">
        <v>202</v>
      </c>
      <c r="B86" t="s">
        <v>50</v>
      </c>
      <c r="C86" t="s">
        <v>10</v>
      </c>
      <c r="D86" s="7">
        <v>2025</v>
      </c>
      <c r="E86" s="7" t="s">
        <v>51</v>
      </c>
      <c r="F86" t="s">
        <v>52</v>
      </c>
      <c r="G86" t="s">
        <v>11</v>
      </c>
      <c r="H86" s="5">
        <v>5</v>
      </c>
      <c r="I86" s="5">
        <v>11</v>
      </c>
      <c r="J86" s="8">
        <v>670000</v>
      </c>
      <c r="K86" s="8">
        <v>655000</v>
      </c>
      <c r="L86" s="8">
        <v>610000</v>
      </c>
    </row>
    <row r="87" spans="1:12">
      <c r="A87" t="s">
        <v>203</v>
      </c>
      <c r="B87" t="s">
        <v>50</v>
      </c>
      <c r="C87" t="s">
        <v>10</v>
      </c>
      <c r="D87" s="7">
        <v>2025</v>
      </c>
      <c r="E87" s="7" t="s">
        <v>51</v>
      </c>
      <c r="F87" t="s">
        <v>52</v>
      </c>
      <c r="G87" t="s">
        <v>11</v>
      </c>
      <c r="H87" s="5">
        <v>6</v>
      </c>
      <c r="I87" s="5">
        <v>6</v>
      </c>
      <c r="J87" s="8">
        <v>670000</v>
      </c>
      <c r="K87" s="8">
        <v>660000</v>
      </c>
      <c r="L87" s="8">
        <v>610000</v>
      </c>
    </row>
    <row r="88" spans="1:12">
      <c r="A88" t="s">
        <v>204</v>
      </c>
      <c r="B88" t="s">
        <v>50</v>
      </c>
      <c r="C88" t="s">
        <v>10</v>
      </c>
      <c r="D88" s="7">
        <v>2025</v>
      </c>
      <c r="E88" s="7" t="s">
        <v>51</v>
      </c>
      <c r="F88" t="s">
        <v>52</v>
      </c>
      <c r="G88" t="s">
        <v>11</v>
      </c>
      <c r="H88" s="5">
        <v>7</v>
      </c>
      <c r="I88" s="5">
        <v>7</v>
      </c>
      <c r="J88" s="8">
        <v>680000</v>
      </c>
      <c r="K88" s="8">
        <v>650000</v>
      </c>
      <c r="L88" s="8">
        <v>610000</v>
      </c>
    </row>
    <row r="89" spans="1:12">
      <c r="A89" t="s">
        <v>205</v>
      </c>
      <c r="B89" t="s">
        <v>50</v>
      </c>
      <c r="C89" t="s">
        <v>10</v>
      </c>
      <c r="D89" s="7">
        <v>2025</v>
      </c>
      <c r="E89" s="7" t="s">
        <v>51</v>
      </c>
      <c r="F89" t="s">
        <v>52</v>
      </c>
      <c r="G89" t="s">
        <v>11</v>
      </c>
      <c r="H89" s="5">
        <v>8</v>
      </c>
      <c r="I89" s="5">
        <v>8</v>
      </c>
      <c r="J89" s="8">
        <v>710000</v>
      </c>
      <c r="K89" s="8">
        <v>655000</v>
      </c>
      <c r="L89" s="8">
        <v>610000</v>
      </c>
    </row>
    <row r="90" spans="1:12">
      <c r="A90" t="s">
        <v>206</v>
      </c>
      <c r="B90" t="s">
        <v>50</v>
      </c>
      <c r="C90" t="s">
        <v>10</v>
      </c>
      <c r="D90" s="7">
        <v>2025</v>
      </c>
      <c r="E90" s="7" t="s">
        <v>51</v>
      </c>
      <c r="F90" t="s">
        <v>52</v>
      </c>
      <c r="G90" t="s">
        <v>11</v>
      </c>
      <c r="H90" s="5">
        <v>9</v>
      </c>
      <c r="I90" s="5">
        <v>9</v>
      </c>
      <c r="J90" s="8">
        <v>700000</v>
      </c>
      <c r="K90" s="8">
        <v>650000</v>
      </c>
      <c r="L90" s="8">
        <v>610000</v>
      </c>
    </row>
    <row r="91" spans="1:12">
      <c r="A91" t="s">
        <v>207</v>
      </c>
      <c r="B91" t="s">
        <v>50</v>
      </c>
      <c r="C91" t="s">
        <v>10</v>
      </c>
      <c r="D91" s="7">
        <v>2025</v>
      </c>
      <c r="E91" s="7" t="s">
        <v>51</v>
      </c>
      <c r="F91" t="s">
        <v>52</v>
      </c>
      <c r="G91" t="s">
        <v>11</v>
      </c>
      <c r="H91" s="5">
        <v>10</v>
      </c>
      <c r="I91" s="5">
        <v>10</v>
      </c>
      <c r="J91" s="8">
        <v>680000</v>
      </c>
      <c r="K91" s="8">
        <v>655000</v>
      </c>
      <c r="L91" s="8">
        <v>610000</v>
      </c>
    </row>
    <row r="92" spans="1:12">
      <c r="A92" t="s">
        <v>208</v>
      </c>
      <c r="B92" t="s">
        <v>53</v>
      </c>
      <c r="C92" t="s">
        <v>10</v>
      </c>
      <c r="D92" s="7">
        <v>2025</v>
      </c>
      <c r="E92" s="7" t="s">
        <v>27</v>
      </c>
      <c r="F92" t="s">
        <v>28</v>
      </c>
      <c r="G92" t="s">
        <v>12</v>
      </c>
      <c r="H92" s="5">
        <v>1</v>
      </c>
      <c r="I92" s="5">
        <v>1</v>
      </c>
      <c r="J92" s="8">
        <v>550000</v>
      </c>
      <c r="K92" s="8">
        <v>550000</v>
      </c>
      <c r="L92" s="8">
        <v>518700</v>
      </c>
    </row>
    <row r="93" spans="1:12">
      <c r="A93" t="s">
        <v>209</v>
      </c>
      <c r="B93" t="s">
        <v>53</v>
      </c>
      <c r="C93" t="s">
        <v>10</v>
      </c>
      <c r="D93" s="7">
        <v>2025</v>
      </c>
      <c r="E93" s="7" t="s">
        <v>27</v>
      </c>
      <c r="F93" t="s">
        <v>28</v>
      </c>
      <c r="G93" t="s">
        <v>12</v>
      </c>
      <c r="H93" s="5">
        <v>2</v>
      </c>
      <c r="I93" s="5">
        <v>11</v>
      </c>
      <c r="J93" s="8">
        <v>550000</v>
      </c>
      <c r="K93" s="8">
        <v>540000</v>
      </c>
      <c r="L93" s="8">
        <v>518700</v>
      </c>
    </row>
    <row r="94" spans="1:12">
      <c r="A94" t="s">
        <v>210</v>
      </c>
      <c r="B94" t="s">
        <v>53</v>
      </c>
      <c r="C94" t="s">
        <v>10</v>
      </c>
      <c r="D94" s="7">
        <v>2025</v>
      </c>
      <c r="E94" s="7" t="s">
        <v>27</v>
      </c>
      <c r="F94" t="s">
        <v>28</v>
      </c>
      <c r="G94" t="s">
        <v>12</v>
      </c>
      <c r="H94" s="5">
        <v>3</v>
      </c>
      <c r="I94" s="5">
        <v>3</v>
      </c>
      <c r="J94" s="8">
        <v>565000</v>
      </c>
      <c r="K94" s="8">
        <v>550000</v>
      </c>
      <c r="L94" s="8">
        <v>518700</v>
      </c>
    </row>
    <row r="95" spans="1:12">
      <c r="A95" t="s">
        <v>211</v>
      </c>
      <c r="B95" t="s">
        <v>53</v>
      </c>
      <c r="C95" t="s">
        <v>10</v>
      </c>
      <c r="D95" s="7">
        <v>2025</v>
      </c>
      <c r="E95" s="7" t="s">
        <v>27</v>
      </c>
      <c r="F95" t="s">
        <v>28</v>
      </c>
      <c r="G95" t="s">
        <v>12</v>
      </c>
      <c r="H95" s="5">
        <v>4</v>
      </c>
      <c r="I95" s="5">
        <v>4</v>
      </c>
      <c r="J95" s="8">
        <v>540000</v>
      </c>
      <c r="K95" s="8">
        <v>545000</v>
      </c>
      <c r="L95" s="8">
        <v>518700</v>
      </c>
    </row>
    <row r="96" spans="1:12">
      <c r="A96" t="s">
        <v>212</v>
      </c>
      <c r="B96" t="s">
        <v>53</v>
      </c>
      <c r="C96" t="s">
        <v>10</v>
      </c>
      <c r="D96" s="7">
        <v>2025</v>
      </c>
      <c r="E96" s="7" t="s">
        <v>27</v>
      </c>
      <c r="F96" t="s">
        <v>28</v>
      </c>
      <c r="G96" t="s">
        <v>12</v>
      </c>
      <c r="H96" s="5">
        <v>5</v>
      </c>
      <c r="I96" s="5">
        <v>5</v>
      </c>
      <c r="J96" s="8">
        <v>540000</v>
      </c>
      <c r="K96" s="8">
        <v>545000</v>
      </c>
      <c r="L96" s="8">
        <v>518700</v>
      </c>
    </row>
    <row r="97" spans="1:12">
      <c r="A97" t="s">
        <v>213</v>
      </c>
      <c r="B97" t="s">
        <v>53</v>
      </c>
      <c r="C97" t="s">
        <v>10</v>
      </c>
      <c r="D97" s="7">
        <v>2025</v>
      </c>
      <c r="E97" s="7" t="s">
        <v>27</v>
      </c>
      <c r="F97" t="s">
        <v>28</v>
      </c>
      <c r="G97" t="s">
        <v>12</v>
      </c>
      <c r="H97" s="5">
        <v>6</v>
      </c>
      <c r="I97" s="5">
        <v>12</v>
      </c>
      <c r="J97" s="8">
        <v>550000</v>
      </c>
      <c r="K97" s="8">
        <v>545000</v>
      </c>
      <c r="L97" s="8">
        <v>518700</v>
      </c>
    </row>
    <row r="98" spans="1:12">
      <c r="A98" t="s">
        <v>214</v>
      </c>
      <c r="B98" t="s">
        <v>53</v>
      </c>
      <c r="C98" t="s">
        <v>10</v>
      </c>
      <c r="D98" s="7">
        <v>2025</v>
      </c>
      <c r="E98" s="7" t="s">
        <v>27</v>
      </c>
      <c r="F98" t="s">
        <v>28</v>
      </c>
      <c r="G98" t="s">
        <v>12</v>
      </c>
      <c r="H98" s="5">
        <v>7</v>
      </c>
      <c r="I98" s="5">
        <v>7</v>
      </c>
      <c r="J98" s="8">
        <v>555000</v>
      </c>
      <c r="K98" s="8">
        <v>545000</v>
      </c>
      <c r="L98" s="8">
        <v>518700</v>
      </c>
    </row>
    <row r="99" spans="1:12">
      <c r="A99" t="s">
        <v>215</v>
      </c>
      <c r="B99" t="s">
        <v>53</v>
      </c>
      <c r="C99" t="s">
        <v>10</v>
      </c>
      <c r="D99" s="7">
        <v>2025</v>
      </c>
      <c r="E99" s="7" t="s">
        <v>27</v>
      </c>
      <c r="F99" t="s">
        <v>28</v>
      </c>
      <c r="G99" t="s">
        <v>12</v>
      </c>
      <c r="H99" s="5">
        <v>8</v>
      </c>
      <c r="I99" s="5">
        <v>8</v>
      </c>
      <c r="J99" s="8">
        <v>555000</v>
      </c>
      <c r="K99" s="8">
        <v>545000</v>
      </c>
      <c r="L99" s="8">
        <v>518700</v>
      </c>
    </row>
    <row r="100" spans="1:12">
      <c r="A100" t="s">
        <v>216</v>
      </c>
      <c r="B100" t="s">
        <v>53</v>
      </c>
      <c r="C100" t="s">
        <v>10</v>
      </c>
      <c r="D100" s="7">
        <v>2025</v>
      </c>
      <c r="E100" s="7" t="s">
        <v>27</v>
      </c>
      <c r="F100" t="s">
        <v>28</v>
      </c>
      <c r="G100" t="s">
        <v>12</v>
      </c>
      <c r="H100" s="5">
        <v>9</v>
      </c>
      <c r="I100" s="5">
        <v>9</v>
      </c>
      <c r="J100" s="8">
        <v>545000</v>
      </c>
      <c r="K100" s="8">
        <v>547500</v>
      </c>
      <c r="L100" s="8">
        <v>518700</v>
      </c>
    </row>
    <row r="101" spans="1:12">
      <c r="A101" t="s">
        <v>217</v>
      </c>
      <c r="B101" t="s">
        <v>53</v>
      </c>
      <c r="C101" t="s">
        <v>10</v>
      </c>
      <c r="D101" s="7">
        <v>2025</v>
      </c>
      <c r="E101" s="7" t="s">
        <v>27</v>
      </c>
      <c r="F101" t="s">
        <v>28</v>
      </c>
      <c r="G101" t="s">
        <v>12</v>
      </c>
      <c r="H101" s="5">
        <v>10</v>
      </c>
      <c r="I101" s="5">
        <v>10</v>
      </c>
      <c r="J101" s="8">
        <v>535000</v>
      </c>
      <c r="K101" s="8">
        <v>545000</v>
      </c>
      <c r="L101" s="8">
        <v>518700</v>
      </c>
    </row>
    <row r="102" spans="1:12">
      <c r="A102" t="s">
        <v>218</v>
      </c>
      <c r="B102" t="s">
        <v>54</v>
      </c>
      <c r="C102" t="s">
        <v>10</v>
      </c>
      <c r="D102" s="7">
        <v>2025</v>
      </c>
      <c r="E102" s="7" t="s">
        <v>30</v>
      </c>
      <c r="F102" t="s">
        <v>31</v>
      </c>
      <c r="G102" t="s">
        <v>12</v>
      </c>
      <c r="H102" s="5">
        <v>1</v>
      </c>
      <c r="I102" s="5">
        <v>1</v>
      </c>
      <c r="J102" s="8">
        <v>735000</v>
      </c>
      <c r="K102" s="8">
        <v>685000</v>
      </c>
      <c r="L102" s="8">
        <v>675000</v>
      </c>
    </row>
    <row r="103" spans="1:12">
      <c r="A103" t="s">
        <v>219</v>
      </c>
      <c r="B103" t="s">
        <v>54</v>
      </c>
      <c r="C103" t="s">
        <v>10</v>
      </c>
      <c r="D103" s="7">
        <v>2025</v>
      </c>
      <c r="E103" s="7" t="s">
        <v>30</v>
      </c>
      <c r="F103" t="s">
        <v>31</v>
      </c>
      <c r="G103" t="s">
        <v>12</v>
      </c>
      <c r="H103" s="5">
        <v>2</v>
      </c>
      <c r="I103" s="5">
        <v>2</v>
      </c>
      <c r="J103" s="8">
        <v>735000</v>
      </c>
      <c r="K103" s="8">
        <v>685000</v>
      </c>
      <c r="L103" s="8">
        <v>675000</v>
      </c>
    </row>
    <row r="104" spans="1:12">
      <c r="A104" t="s">
        <v>220</v>
      </c>
      <c r="B104" t="s">
        <v>54</v>
      </c>
      <c r="C104" t="s">
        <v>10</v>
      </c>
      <c r="D104" s="7">
        <v>2025</v>
      </c>
      <c r="E104" s="7" t="s">
        <v>30</v>
      </c>
      <c r="F104" t="s">
        <v>31</v>
      </c>
      <c r="G104" t="s">
        <v>12</v>
      </c>
      <c r="H104" s="5">
        <v>3</v>
      </c>
      <c r="I104" s="5">
        <v>3</v>
      </c>
      <c r="J104" s="8">
        <v>750000</v>
      </c>
      <c r="K104" s="8">
        <v>685000</v>
      </c>
      <c r="L104" s="8">
        <v>675000</v>
      </c>
    </row>
    <row r="105" spans="1:12">
      <c r="A105" t="s">
        <v>221</v>
      </c>
      <c r="B105" t="s">
        <v>54</v>
      </c>
      <c r="C105" t="s">
        <v>10</v>
      </c>
      <c r="D105" s="7">
        <v>2025</v>
      </c>
      <c r="E105" s="7" t="s">
        <v>30</v>
      </c>
      <c r="F105" t="s">
        <v>31</v>
      </c>
      <c r="G105" t="s">
        <v>12</v>
      </c>
      <c r="H105" s="5">
        <v>4</v>
      </c>
      <c r="I105" s="5">
        <v>4</v>
      </c>
      <c r="J105" s="8">
        <v>685000</v>
      </c>
      <c r="K105" s="8">
        <v>680000</v>
      </c>
      <c r="L105" s="8">
        <v>675000</v>
      </c>
    </row>
    <row r="106" spans="1:12">
      <c r="A106" t="s">
        <v>222</v>
      </c>
      <c r="B106" t="s">
        <v>54</v>
      </c>
      <c r="C106" t="s">
        <v>10</v>
      </c>
      <c r="D106" s="7">
        <v>2025</v>
      </c>
      <c r="E106" s="7" t="s">
        <v>30</v>
      </c>
      <c r="F106" t="s">
        <v>31</v>
      </c>
      <c r="G106" t="s">
        <v>12</v>
      </c>
      <c r="H106" s="5">
        <v>5</v>
      </c>
      <c r="I106" s="5">
        <v>5</v>
      </c>
      <c r="J106" s="8">
        <v>735000</v>
      </c>
      <c r="K106" s="8">
        <v>690000</v>
      </c>
      <c r="L106" s="8">
        <v>675000</v>
      </c>
    </row>
    <row r="107" spans="1:12">
      <c r="A107" t="s">
        <v>223</v>
      </c>
      <c r="B107" t="s">
        <v>54</v>
      </c>
      <c r="C107" t="s">
        <v>10</v>
      </c>
      <c r="D107" s="7">
        <v>2025</v>
      </c>
      <c r="E107" s="7" t="s">
        <v>30</v>
      </c>
      <c r="F107" t="s">
        <v>31</v>
      </c>
      <c r="G107" t="s">
        <v>12</v>
      </c>
      <c r="H107" s="5">
        <v>6</v>
      </c>
      <c r="I107" s="5">
        <v>6</v>
      </c>
      <c r="J107" s="8">
        <v>715000</v>
      </c>
      <c r="K107" s="8">
        <v>670000</v>
      </c>
      <c r="L107" s="8">
        <v>675000</v>
      </c>
    </row>
    <row r="108" spans="1:12">
      <c r="A108" t="s">
        <v>224</v>
      </c>
      <c r="B108" t="s">
        <v>54</v>
      </c>
      <c r="C108" t="s">
        <v>10</v>
      </c>
      <c r="D108" s="7">
        <v>2025</v>
      </c>
      <c r="E108" s="7" t="s">
        <v>30</v>
      </c>
      <c r="F108" t="s">
        <v>31</v>
      </c>
      <c r="G108" t="s">
        <v>12</v>
      </c>
      <c r="H108" s="5">
        <v>7</v>
      </c>
      <c r="I108" s="5">
        <v>7</v>
      </c>
      <c r="J108" s="8">
        <v>715000</v>
      </c>
      <c r="K108" s="8">
        <v>690000</v>
      </c>
      <c r="L108" s="8">
        <v>675000</v>
      </c>
    </row>
    <row r="109" spans="1:12">
      <c r="A109" t="s">
        <v>225</v>
      </c>
      <c r="B109" t="s">
        <v>54</v>
      </c>
      <c r="C109" t="s">
        <v>10</v>
      </c>
      <c r="D109" s="7">
        <v>2025</v>
      </c>
      <c r="E109" s="7" t="s">
        <v>30</v>
      </c>
      <c r="F109" t="s">
        <v>31</v>
      </c>
      <c r="G109" t="s">
        <v>12</v>
      </c>
      <c r="H109" s="5">
        <v>8</v>
      </c>
      <c r="I109" s="5">
        <v>8</v>
      </c>
      <c r="J109" s="8">
        <v>755000</v>
      </c>
      <c r="K109" s="8">
        <v>675000</v>
      </c>
      <c r="L109" s="8">
        <v>675000</v>
      </c>
    </row>
    <row r="110" spans="1:12">
      <c r="A110" t="s">
        <v>226</v>
      </c>
      <c r="B110" t="s">
        <v>54</v>
      </c>
      <c r="C110" t="s">
        <v>10</v>
      </c>
      <c r="D110" s="7">
        <v>2025</v>
      </c>
      <c r="E110" s="7" t="s">
        <v>30</v>
      </c>
      <c r="F110" t="s">
        <v>31</v>
      </c>
      <c r="G110" t="s">
        <v>12</v>
      </c>
      <c r="H110" s="5">
        <v>9</v>
      </c>
      <c r="I110" s="5">
        <v>9</v>
      </c>
      <c r="J110" s="8">
        <v>740000</v>
      </c>
      <c r="K110" s="8">
        <v>690000</v>
      </c>
      <c r="L110" s="8">
        <v>675000</v>
      </c>
    </row>
    <row r="111" spans="1:12">
      <c r="A111" t="s">
        <v>227</v>
      </c>
      <c r="B111" t="s">
        <v>54</v>
      </c>
      <c r="C111" t="s">
        <v>10</v>
      </c>
      <c r="D111" s="7">
        <v>2025</v>
      </c>
      <c r="E111" s="7" t="s">
        <v>30</v>
      </c>
      <c r="F111" t="s">
        <v>31</v>
      </c>
      <c r="G111" t="s">
        <v>12</v>
      </c>
      <c r="H111" s="5">
        <v>10</v>
      </c>
      <c r="I111" s="5">
        <v>10</v>
      </c>
      <c r="J111" s="8">
        <v>735000</v>
      </c>
      <c r="K111" s="8">
        <v>680000</v>
      </c>
      <c r="L111" s="8">
        <v>675000</v>
      </c>
    </row>
    <row r="112" spans="1:12">
      <c r="A112" t="s">
        <v>228</v>
      </c>
      <c r="B112" t="s">
        <v>55</v>
      </c>
      <c r="C112" t="s">
        <v>10</v>
      </c>
      <c r="D112" s="7">
        <v>2025</v>
      </c>
      <c r="E112" s="7" t="s">
        <v>33</v>
      </c>
      <c r="F112" t="s">
        <v>34</v>
      </c>
      <c r="G112" t="s">
        <v>12</v>
      </c>
      <c r="H112" s="5">
        <v>1</v>
      </c>
      <c r="I112" s="5">
        <v>1</v>
      </c>
      <c r="J112" s="8">
        <v>675000</v>
      </c>
      <c r="K112" s="8">
        <v>675000</v>
      </c>
      <c r="L112" s="8">
        <v>620000</v>
      </c>
    </row>
    <row r="113" spans="1:12">
      <c r="A113" t="s">
        <v>229</v>
      </c>
      <c r="B113" t="s">
        <v>55</v>
      </c>
      <c r="C113" t="s">
        <v>10</v>
      </c>
      <c r="D113" s="7">
        <v>2025</v>
      </c>
      <c r="E113" s="7" t="s">
        <v>33</v>
      </c>
      <c r="F113" t="s">
        <v>34</v>
      </c>
      <c r="G113" t="s">
        <v>12</v>
      </c>
      <c r="H113" s="5">
        <v>2</v>
      </c>
      <c r="I113" s="5">
        <v>2</v>
      </c>
      <c r="J113" s="8">
        <v>675000</v>
      </c>
      <c r="K113" s="8">
        <v>675000</v>
      </c>
      <c r="L113" s="8">
        <v>620000</v>
      </c>
    </row>
    <row r="114" spans="1:12">
      <c r="A114" t="s">
        <v>230</v>
      </c>
      <c r="B114" t="s">
        <v>55</v>
      </c>
      <c r="C114" t="s">
        <v>10</v>
      </c>
      <c r="D114" s="7">
        <v>2025</v>
      </c>
      <c r="E114" s="7" t="s">
        <v>33</v>
      </c>
      <c r="F114" t="s">
        <v>34</v>
      </c>
      <c r="G114" t="s">
        <v>12</v>
      </c>
      <c r="H114" s="5">
        <v>3</v>
      </c>
      <c r="I114" s="5">
        <v>3</v>
      </c>
      <c r="J114" s="8">
        <v>650000</v>
      </c>
      <c r="K114" s="8">
        <v>650000</v>
      </c>
      <c r="L114" s="8">
        <v>620000</v>
      </c>
    </row>
    <row r="115" spans="1:12">
      <c r="A115" t="s">
        <v>231</v>
      </c>
      <c r="B115" t="s">
        <v>55</v>
      </c>
      <c r="C115" t="s">
        <v>10</v>
      </c>
      <c r="D115" s="7">
        <v>2025</v>
      </c>
      <c r="E115" s="7" t="s">
        <v>33</v>
      </c>
      <c r="F115" t="s">
        <v>34</v>
      </c>
      <c r="G115" t="s">
        <v>12</v>
      </c>
      <c r="H115" s="5">
        <v>4</v>
      </c>
      <c r="I115" s="5">
        <v>4</v>
      </c>
      <c r="J115" s="8">
        <v>645000</v>
      </c>
      <c r="K115" s="8">
        <v>655000</v>
      </c>
      <c r="L115" s="8">
        <v>620000</v>
      </c>
    </row>
    <row r="116" spans="1:12">
      <c r="A116" t="s">
        <v>232</v>
      </c>
      <c r="B116" t="s">
        <v>55</v>
      </c>
      <c r="C116" t="s">
        <v>10</v>
      </c>
      <c r="D116" s="7">
        <v>2025</v>
      </c>
      <c r="E116" s="7" t="s">
        <v>33</v>
      </c>
      <c r="F116" t="s">
        <v>34</v>
      </c>
      <c r="G116" t="s">
        <v>12</v>
      </c>
      <c r="H116" s="5">
        <v>5</v>
      </c>
      <c r="I116" s="5">
        <v>5</v>
      </c>
      <c r="J116" s="8">
        <v>675000</v>
      </c>
      <c r="K116" s="8">
        <v>675000</v>
      </c>
      <c r="L116" s="8">
        <v>620000</v>
      </c>
    </row>
    <row r="117" spans="1:12">
      <c r="A117" t="s">
        <v>233</v>
      </c>
      <c r="B117" t="s">
        <v>55</v>
      </c>
      <c r="C117" t="s">
        <v>10</v>
      </c>
      <c r="D117" s="7">
        <v>2025</v>
      </c>
      <c r="E117" s="7" t="s">
        <v>33</v>
      </c>
      <c r="F117" t="s">
        <v>34</v>
      </c>
      <c r="G117" t="s">
        <v>12</v>
      </c>
      <c r="H117" s="5">
        <v>6</v>
      </c>
      <c r="I117" s="5">
        <v>6</v>
      </c>
      <c r="J117" s="8">
        <v>675000</v>
      </c>
      <c r="K117" s="8">
        <v>675000</v>
      </c>
      <c r="L117" s="8">
        <v>620000</v>
      </c>
    </row>
    <row r="118" spans="1:12">
      <c r="A118" t="s">
        <v>234</v>
      </c>
      <c r="B118" t="s">
        <v>55</v>
      </c>
      <c r="C118" t="s">
        <v>10</v>
      </c>
      <c r="D118" s="7">
        <v>2025</v>
      </c>
      <c r="E118" s="7" t="s">
        <v>33</v>
      </c>
      <c r="F118" t="s">
        <v>34</v>
      </c>
      <c r="G118" t="s">
        <v>12</v>
      </c>
      <c r="H118" s="5">
        <v>7</v>
      </c>
      <c r="I118" s="5">
        <v>7</v>
      </c>
      <c r="J118" s="8">
        <v>675000</v>
      </c>
      <c r="K118" s="8">
        <v>675000</v>
      </c>
      <c r="L118" s="8">
        <v>620000</v>
      </c>
    </row>
    <row r="119" spans="1:12">
      <c r="A119" t="s">
        <v>235</v>
      </c>
      <c r="B119" t="s">
        <v>55</v>
      </c>
      <c r="C119" t="s">
        <v>10</v>
      </c>
      <c r="D119" s="7">
        <v>2025</v>
      </c>
      <c r="E119" s="7" t="s">
        <v>33</v>
      </c>
      <c r="F119" t="s">
        <v>34</v>
      </c>
      <c r="G119" t="s">
        <v>12</v>
      </c>
      <c r="H119" s="5">
        <v>8</v>
      </c>
      <c r="I119" s="5">
        <v>51</v>
      </c>
      <c r="J119" s="8">
        <v>635000</v>
      </c>
      <c r="K119" s="8">
        <v>640000</v>
      </c>
      <c r="L119" s="8">
        <v>620000</v>
      </c>
    </row>
    <row r="120" spans="1:12">
      <c r="A120" t="s">
        <v>236</v>
      </c>
      <c r="B120" t="s">
        <v>55</v>
      </c>
      <c r="C120" t="s">
        <v>10</v>
      </c>
      <c r="D120" s="7">
        <v>2025</v>
      </c>
      <c r="E120" s="7" t="s">
        <v>33</v>
      </c>
      <c r="F120" t="s">
        <v>34</v>
      </c>
      <c r="G120" t="s">
        <v>12</v>
      </c>
      <c r="H120" s="5">
        <v>9</v>
      </c>
      <c r="I120" s="5">
        <v>9</v>
      </c>
      <c r="J120" s="8">
        <v>655000</v>
      </c>
      <c r="K120" s="8">
        <v>660000</v>
      </c>
      <c r="L120" s="8">
        <v>620000</v>
      </c>
    </row>
    <row r="121" spans="1:12">
      <c r="A121" t="s">
        <v>237</v>
      </c>
      <c r="B121" t="s">
        <v>55</v>
      </c>
      <c r="C121" t="s">
        <v>10</v>
      </c>
      <c r="D121" s="7">
        <v>2025</v>
      </c>
      <c r="E121" s="7" t="s">
        <v>33</v>
      </c>
      <c r="F121" t="s">
        <v>34</v>
      </c>
      <c r="G121" t="s">
        <v>12</v>
      </c>
      <c r="H121" s="5">
        <v>10</v>
      </c>
      <c r="I121" s="5">
        <v>10</v>
      </c>
      <c r="J121" s="8">
        <v>650000</v>
      </c>
      <c r="K121" s="8">
        <v>650000</v>
      </c>
      <c r="L121" s="8">
        <v>620000</v>
      </c>
    </row>
    <row r="122" spans="1:12">
      <c r="A122" t="s">
        <v>238</v>
      </c>
      <c r="B122" t="s">
        <v>56</v>
      </c>
      <c r="C122" t="s">
        <v>10</v>
      </c>
      <c r="D122" s="7">
        <v>2025</v>
      </c>
      <c r="E122" s="7" t="s">
        <v>36</v>
      </c>
      <c r="F122" t="s">
        <v>37</v>
      </c>
      <c r="G122" t="s">
        <v>12</v>
      </c>
      <c r="H122" s="5">
        <v>1</v>
      </c>
      <c r="I122" s="5">
        <v>1</v>
      </c>
      <c r="J122" s="8">
        <v>680000</v>
      </c>
      <c r="K122" s="8">
        <v>660000</v>
      </c>
      <c r="L122" s="8">
        <v>654200</v>
      </c>
    </row>
    <row r="123" spans="1:12">
      <c r="A123" t="s">
        <v>239</v>
      </c>
      <c r="B123" t="s">
        <v>56</v>
      </c>
      <c r="C123" t="s">
        <v>10</v>
      </c>
      <c r="D123" s="7">
        <v>2025</v>
      </c>
      <c r="E123" s="7" t="s">
        <v>36</v>
      </c>
      <c r="F123" t="s">
        <v>37</v>
      </c>
      <c r="G123" t="s">
        <v>12</v>
      </c>
      <c r="H123" s="5">
        <v>2</v>
      </c>
      <c r="I123" s="5">
        <v>2</v>
      </c>
      <c r="J123" s="8">
        <v>685000</v>
      </c>
      <c r="K123" s="8">
        <v>670000</v>
      </c>
      <c r="L123" s="8">
        <v>654200</v>
      </c>
    </row>
    <row r="124" spans="1:12">
      <c r="A124" t="s">
        <v>240</v>
      </c>
      <c r="B124" t="s">
        <v>56</v>
      </c>
      <c r="C124" t="s">
        <v>10</v>
      </c>
      <c r="D124" s="7">
        <v>2025</v>
      </c>
      <c r="E124" s="7" t="s">
        <v>36</v>
      </c>
      <c r="F124" t="s">
        <v>37</v>
      </c>
      <c r="G124" t="s">
        <v>12</v>
      </c>
      <c r="H124" s="5">
        <v>3</v>
      </c>
      <c r="I124" s="5">
        <v>3</v>
      </c>
      <c r="J124" s="8">
        <v>665000</v>
      </c>
      <c r="K124" s="8">
        <v>660000</v>
      </c>
      <c r="L124" s="8">
        <v>654200</v>
      </c>
    </row>
    <row r="125" spans="1:12">
      <c r="A125" t="s">
        <v>241</v>
      </c>
      <c r="B125" t="s">
        <v>56</v>
      </c>
      <c r="C125" t="s">
        <v>10</v>
      </c>
      <c r="D125" s="7">
        <v>2025</v>
      </c>
      <c r="E125" s="7" t="s">
        <v>36</v>
      </c>
      <c r="F125" t="s">
        <v>37</v>
      </c>
      <c r="G125" t="s">
        <v>12</v>
      </c>
      <c r="H125" s="5">
        <v>4</v>
      </c>
      <c r="I125" s="5">
        <v>4</v>
      </c>
      <c r="J125" s="8">
        <v>680000</v>
      </c>
      <c r="K125" s="8">
        <v>660000</v>
      </c>
      <c r="L125" s="8">
        <v>654200</v>
      </c>
    </row>
    <row r="126" spans="1:12">
      <c r="A126" t="s">
        <v>242</v>
      </c>
      <c r="B126" t="s">
        <v>56</v>
      </c>
      <c r="C126" t="s">
        <v>10</v>
      </c>
      <c r="D126" s="7">
        <v>2025</v>
      </c>
      <c r="E126" s="7" t="s">
        <v>36</v>
      </c>
      <c r="F126" t="s">
        <v>37</v>
      </c>
      <c r="G126" t="s">
        <v>12</v>
      </c>
      <c r="H126" s="5">
        <v>5</v>
      </c>
      <c r="I126" s="5">
        <v>5</v>
      </c>
      <c r="J126" s="8">
        <v>675000</v>
      </c>
      <c r="K126" s="8">
        <v>665000</v>
      </c>
      <c r="L126" s="8">
        <v>654200</v>
      </c>
    </row>
    <row r="127" spans="1:12">
      <c r="A127" t="s">
        <v>243</v>
      </c>
      <c r="B127" t="s">
        <v>56</v>
      </c>
      <c r="C127" t="s">
        <v>10</v>
      </c>
      <c r="D127" s="7">
        <v>2025</v>
      </c>
      <c r="E127" s="7" t="s">
        <v>36</v>
      </c>
      <c r="F127" t="s">
        <v>37</v>
      </c>
      <c r="G127" t="s">
        <v>12</v>
      </c>
      <c r="H127" s="5">
        <v>6</v>
      </c>
      <c r="I127" s="5">
        <v>6</v>
      </c>
      <c r="J127" s="8">
        <v>670000</v>
      </c>
      <c r="K127" s="8">
        <v>660000</v>
      </c>
      <c r="L127" s="8">
        <v>654200</v>
      </c>
    </row>
    <row r="128" spans="1:12">
      <c r="A128" t="s">
        <v>244</v>
      </c>
      <c r="B128" t="s">
        <v>56</v>
      </c>
      <c r="C128" t="s">
        <v>10</v>
      </c>
      <c r="D128" s="7">
        <v>2025</v>
      </c>
      <c r="E128" s="7" t="s">
        <v>36</v>
      </c>
      <c r="F128" t="s">
        <v>37</v>
      </c>
      <c r="G128" t="s">
        <v>12</v>
      </c>
      <c r="H128" s="5">
        <v>7</v>
      </c>
      <c r="I128" s="5">
        <v>7</v>
      </c>
      <c r="J128" s="8">
        <v>665000</v>
      </c>
      <c r="K128" s="8">
        <v>660000</v>
      </c>
      <c r="L128" s="8">
        <v>654200</v>
      </c>
    </row>
    <row r="129" spans="1:12">
      <c r="A129" t="s">
        <v>245</v>
      </c>
      <c r="B129" t="s">
        <v>56</v>
      </c>
      <c r="C129" t="s">
        <v>10</v>
      </c>
      <c r="D129" s="7">
        <v>2025</v>
      </c>
      <c r="E129" s="7" t="s">
        <v>36</v>
      </c>
      <c r="F129" t="s">
        <v>37</v>
      </c>
      <c r="G129" t="s">
        <v>12</v>
      </c>
      <c r="H129" s="5">
        <v>8</v>
      </c>
      <c r="I129" s="5">
        <v>8</v>
      </c>
      <c r="J129" s="8">
        <v>670000</v>
      </c>
      <c r="K129" s="8">
        <v>660000</v>
      </c>
      <c r="L129" s="8">
        <v>654200</v>
      </c>
    </row>
    <row r="130" spans="1:12">
      <c r="A130" t="s">
        <v>246</v>
      </c>
      <c r="B130" t="s">
        <v>56</v>
      </c>
      <c r="C130" t="s">
        <v>10</v>
      </c>
      <c r="D130" s="7">
        <v>2025</v>
      </c>
      <c r="E130" s="7" t="s">
        <v>36</v>
      </c>
      <c r="F130" t="s">
        <v>37</v>
      </c>
      <c r="G130" t="s">
        <v>12</v>
      </c>
      <c r="H130" s="5">
        <v>9</v>
      </c>
      <c r="I130" s="5">
        <v>9</v>
      </c>
      <c r="J130" s="8">
        <v>675000</v>
      </c>
      <c r="K130" s="8">
        <v>660000</v>
      </c>
      <c r="L130" s="8">
        <v>654200</v>
      </c>
    </row>
    <row r="131" spans="1:12">
      <c r="A131" t="s">
        <v>247</v>
      </c>
      <c r="B131" t="s">
        <v>56</v>
      </c>
      <c r="C131" t="s">
        <v>10</v>
      </c>
      <c r="D131" s="7">
        <v>2025</v>
      </c>
      <c r="E131" s="7" t="s">
        <v>36</v>
      </c>
      <c r="F131" t="s">
        <v>37</v>
      </c>
      <c r="G131" t="s">
        <v>12</v>
      </c>
      <c r="H131" s="5">
        <v>10</v>
      </c>
      <c r="I131" s="5">
        <v>10</v>
      </c>
      <c r="J131" s="8">
        <v>700000</v>
      </c>
      <c r="K131" s="8">
        <v>680000</v>
      </c>
      <c r="L131" s="8">
        <v>654200</v>
      </c>
    </row>
    <row r="132" spans="1:12">
      <c r="A132" t="s">
        <v>248</v>
      </c>
      <c r="B132" t="s">
        <v>57</v>
      </c>
      <c r="C132" t="s">
        <v>10</v>
      </c>
      <c r="D132" s="7">
        <v>2025</v>
      </c>
      <c r="E132" s="7" t="s">
        <v>39</v>
      </c>
      <c r="F132" t="s">
        <v>40</v>
      </c>
      <c r="G132" t="s">
        <v>12</v>
      </c>
      <c r="H132" s="5">
        <v>1</v>
      </c>
      <c r="I132" s="5">
        <v>1</v>
      </c>
      <c r="J132" s="8">
        <v>890000</v>
      </c>
      <c r="K132" s="8">
        <v>900000</v>
      </c>
      <c r="L132" s="8">
        <v>910000</v>
      </c>
    </row>
    <row r="133" spans="1:12">
      <c r="A133" t="s">
        <v>249</v>
      </c>
      <c r="B133" t="s">
        <v>57</v>
      </c>
      <c r="C133" t="s">
        <v>10</v>
      </c>
      <c r="D133" s="7">
        <v>2025</v>
      </c>
      <c r="E133" s="7" t="s">
        <v>39</v>
      </c>
      <c r="F133" t="s">
        <v>40</v>
      </c>
      <c r="G133" t="s">
        <v>12</v>
      </c>
      <c r="H133" s="5">
        <v>2</v>
      </c>
      <c r="I133" s="5">
        <v>2</v>
      </c>
      <c r="J133" s="8">
        <v>890000</v>
      </c>
      <c r="K133" s="8">
        <v>895000</v>
      </c>
      <c r="L133" s="8">
        <v>910000</v>
      </c>
    </row>
    <row r="134" spans="1:12">
      <c r="A134" t="s">
        <v>250</v>
      </c>
      <c r="B134" t="s">
        <v>57</v>
      </c>
      <c r="C134" t="s">
        <v>10</v>
      </c>
      <c r="D134" s="7">
        <v>2025</v>
      </c>
      <c r="E134" s="7" t="s">
        <v>39</v>
      </c>
      <c r="F134" t="s">
        <v>40</v>
      </c>
      <c r="G134" t="s">
        <v>12</v>
      </c>
      <c r="H134" s="5">
        <v>3</v>
      </c>
      <c r="I134" s="5">
        <v>3</v>
      </c>
      <c r="J134" s="8">
        <v>885000</v>
      </c>
      <c r="K134" s="8">
        <v>890000</v>
      </c>
      <c r="L134" s="8">
        <v>910000</v>
      </c>
    </row>
    <row r="135" spans="1:12">
      <c r="A135" t="s">
        <v>251</v>
      </c>
      <c r="B135" t="s">
        <v>57</v>
      </c>
      <c r="C135" t="s">
        <v>10</v>
      </c>
      <c r="D135" s="7">
        <v>2025</v>
      </c>
      <c r="E135" s="7" t="s">
        <v>39</v>
      </c>
      <c r="F135" t="s">
        <v>40</v>
      </c>
      <c r="G135" t="s">
        <v>12</v>
      </c>
      <c r="H135" s="5">
        <v>4</v>
      </c>
      <c r="I135" s="5">
        <v>4</v>
      </c>
      <c r="J135" s="8">
        <v>880000</v>
      </c>
      <c r="K135" s="8">
        <v>895000</v>
      </c>
      <c r="L135" s="8">
        <v>910000</v>
      </c>
    </row>
    <row r="136" spans="1:12">
      <c r="A136" t="s">
        <v>252</v>
      </c>
      <c r="B136" t="s">
        <v>57</v>
      </c>
      <c r="C136" t="s">
        <v>10</v>
      </c>
      <c r="D136" s="7">
        <v>2025</v>
      </c>
      <c r="E136" s="7" t="s">
        <v>39</v>
      </c>
      <c r="F136" t="s">
        <v>40</v>
      </c>
      <c r="G136" t="s">
        <v>12</v>
      </c>
      <c r="H136" s="5">
        <v>5</v>
      </c>
      <c r="I136" s="5">
        <v>5</v>
      </c>
      <c r="J136" s="8">
        <v>875000</v>
      </c>
      <c r="K136" s="8">
        <v>885000</v>
      </c>
      <c r="L136" s="8">
        <v>910000</v>
      </c>
    </row>
    <row r="137" spans="1:12">
      <c r="A137" t="s">
        <v>253</v>
      </c>
      <c r="B137" t="s">
        <v>57</v>
      </c>
      <c r="C137" t="s">
        <v>10</v>
      </c>
      <c r="D137" s="7">
        <v>2025</v>
      </c>
      <c r="E137" s="7" t="s">
        <v>39</v>
      </c>
      <c r="F137" t="s">
        <v>40</v>
      </c>
      <c r="G137" t="s">
        <v>12</v>
      </c>
      <c r="H137" s="5">
        <v>6</v>
      </c>
      <c r="I137" s="5">
        <v>6</v>
      </c>
      <c r="J137" s="8">
        <v>885000</v>
      </c>
      <c r="K137" s="8">
        <v>895000</v>
      </c>
      <c r="L137" s="8">
        <v>910000</v>
      </c>
    </row>
    <row r="138" spans="1:12">
      <c r="A138" t="s">
        <v>254</v>
      </c>
      <c r="B138" t="s">
        <v>57</v>
      </c>
      <c r="C138" t="s">
        <v>10</v>
      </c>
      <c r="D138" s="7">
        <v>2025</v>
      </c>
      <c r="E138" s="7" t="s">
        <v>39</v>
      </c>
      <c r="F138" t="s">
        <v>40</v>
      </c>
      <c r="G138" t="s">
        <v>12</v>
      </c>
      <c r="H138" s="5">
        <v>7</v>
      </c>
      <c r="I138" s="5">
        <v>7</v>
      </c>
      <c r="J138" s="8">
        <v>885000</v>
      </c>
      <c r="K138" s="8">
        <v>890000</v>
      </c>
      <c r="L138" s="8">
        <v>910000</v>
      </c>
    </row>
    <row r="139" spans="1:12">
      <c r="A139" t="s">
        <v>255</v>
      </c>
      <c r="B139" t="s">
        <v>57</v>
      </c>
      <c r="C139" t="s">
        <v>10</v>
      </c>
      <c r="D139" s="7">
        <v>2025</v>
      </c>
      <c r="E139" s="7" t="s">
        <v>39</v>
      </c>
      <c r="F139" t="s">
        <v>40</v>
      </c>
      <c r="G139" t="s">
        <v>12</v>
      </c>
      <c r="H139" s="5">
        <v>8</v>
      </c>
      <c r="I139" s="5">
        <v>8</v>
      </c>
      <c r="J139" s="8">
        <v>905000</v>
      </c>
      <c r="K139" s="8">
        <v>900000</v>
      </c>
      <c r="L139" s="8">
        <v>910000</v>
      </c>
    </row>
    <row r="140" spans="1:12">
      <c r="A140" t="s">
        <v>256</v>
      </c>
      <c r="B140" t="s">
        <v>57</v>
      </c>
      <c r="C140" t="s">
        <v>10</v>
      </c>
      <c r="D140" s="7">
        <v>2025</v>
      </c>
      <c r="E140" s="7" t="s">
        <v>39</v>
      </c>
      <c r="F140" t="s">
        <v>40</v>
      </c>
      <c r="G140" t="s">
        <v>12</v>
      </c>
      <c r="H140" s="5">
        <v>9</v>
      </c>
      <c r="I140" s="5">
        <v>9</v>
      </c>
      <c r="J140" s="8">
        <v>885000</v>
      </c>
      <c r="K140" s="8">
        <v>890000</v>
      </c>
      <c r="L140" s="8">
        <v>910000</v>
      </c>
    </row>
    <row r="141" spans="1:12">
      <c r="A141" t="s">
        <v>257</v>
      </c>
      <c r="B141" t="s">
        <v>57</v>
      </c>
      <c r="C141" t="s">
        <v>10</v>
      </c>
      <c r="D141" s="7">
        <v>2025</v>
      </c>
      <c r="E141" s="7" t="s">
        <v>39</v>
      </c>
      <c r="F141" t="s">
        <v>40</v>
      </c>
      <c r="G141" t="s">
        <v>12</v>
      </c>
      <c r="H141" s="5">
        <v>10</v>
      </c>
      <c r="I141" s="5">
        <v>10</v>
      </c>
      <c r="J141" s="8">
        <v>885000</v>
      </c>
      <c r="K141" s="8">
        <v>900000</v>
      </c>
      <c r="L141" s="8">
        <v>910000</v>
      </c>
    </row>
    <row r="142" spans="1:12">
      <c r="A142" t="s">
        <v>258</v>
      </c>
      <c r="B142" t="s">
        <v>58</v>
      </c>
      <c r="C142" t="s">
        <v>10</v>
      </c>
      <c r="D142" s="7">
        <v>2025</v>
      </c>
      <c r="E142" s="7" t="s">
        <v>42</v>
      </c>
      <c r="F142" t="s">
        <v>43</v>
      </c>
      <c r="G142" t="s">
        <v>12</v>
      </c>
      <c r="H142" s="5">
        <v>1</v>
      </c>
      <c r="I142" s="5">
        <v>1</v>
      </c>
      <c r="J142" s="8">
        <v>615000</v>
      </c>
      <c r="K142" s="8">
        <v>600000</v>
      </c>
      <c r="L142" s="8">
        <v>580000</v>
      </c>
    </row>
    <row r="143" spans="1:12">
      <c r="A143" t="s">
        <v>259</v>
      </c>
      <c r="B143" t="s">
        <v>58</v>
      </c>
      <c r="C143" t="s">
        <v>10</v>
      </c>
      <c r="D143" s="7">
        <v>2025</v>
      </c>
      <c r="E143" s="7" t="s">
        <v>42</v>
      </c>
      <c r="F143" t="s">
        <v>43</v>
      </c>
      <c r="G143" t="s">
        <v>12</v>
      </c>
      <c r="H143" s="5">
        <v>2</v>
      </c>
      <c r="I143" s="5">
        <v>2</v>
      </c>
      <c r="J143" s="8">
        <v>610000</v>
      </c>
      <c r="K143" s="8">
        <v>600000</v>
      </c>
      <c r="L143" s="8">
        <v>580000</v>
      </c>
    </row>
    <row r="144" spans="1:12">
      <c r="A144" t="s">
        <v>260</v>
      </c>
      <c r="B144" t="s">
        <v>58</v>
      </c>
      <c r="C144" t="s">
        <v>10</v>
      </c>
      <c r="D144" s="7">
        <v>2025</v>
      </c>
      <c r="E144" s="7" t="s">
        <v>42</v>
      </c>
      <c r="F144" t="s">
        <v>43</v>
      </c>
      <c r="G144" t="s">
        <v>12</v>
      </c>
      <c r="H144" s="5">
        <v>3</v>
      </c>
      <c r="I144" s="5">
        <v>3</v>
      </c>
      <c r="J144" s="8">
        <v>610000</v>
      </c>
      <c r="K144" s="8">
        <v>600000</v>
      </c>
      <c r="L144" s="8">
        <v>580000</v>
      </c>
    </row>
    <row r="145" spans="1:12">
      <c r="A145" t="s">
        <v>261</v>
      </c>
      <c r="B145" t="s">
        <v>58</v>
      </c>
      <c r="C145" t="s">
        <v>10</v>
      </c>
      <c r="D145" s="7">
        <v>2025</v>
      </c>
      <c r="E145" s="7" t="s">
        <v>42</v>
      </c>
      <c r="F145" t="s">
        <v>43</v>
      </c>
      <c r="G145" t="s">
        <v>12</v>
      </c>
      <c r="H145" s="5">
        <v>4</v>
      </c>
      <c r="I145" s="5">
        <v>4</v>
      </c>
      <c r="J145" s="8">
        <v>615000</v>
      </c>
      <c r="K145" s="8">
        <v>600000</v>
      </c>
      <c r="L145" s="8">
        <v>580000</v>
      </c>
    </row>
    <row r="146" spans="1:12">
      <c r="A146" t="s">
        <v>262</v>
      </c>
      <c r="B146" t="s">
        <v>58</v>
      </c>
      <c r="C146" t="s">
        <v>10</v>
      </c>
      <c r="D146" s="7">
        <v>2025</v>
      </c>
      <c r="E146" s="7" t="s">
        <v>42</v>
      </c>
      <c r="F146" t="s">
        <v>43</v>
      </c>
      <c r="G146" t="s">
        <v>12</v>
      </c>
      <c r="H146" s="5">
        <v>5</v>
      </c>
      <c r="I146" s="5">
        <v>5</v>
      </c>
      <c r="J146" s="8">
        <v>615000</v>
      </c>
      <c r="K146" s="8">
        <v>605000</v>
      </c>
      <c r="L146" s="8">
        <v>580000</v>
      </c>
    </row>
    <row r="147" spans="1:12">
      <c r="A147" t="s">
        <v>263</v>
      </c>
      <c r="B147" t="s">
        <v>58</v>
      </c>
      <c r="C147" t="s">
        <v>10</v>
      </c>
      <c r="D147" s="7">
        <v>2025</v>
      </c>
      <c r="E147" s="7" t="s">
        <v>42</v>
      </c>
      <c r="F147" t="s">
        <v>43</v>
      </c>
      <c r="G147" t="s">
        <v>12</v>
      </c>
      <c r="H147" s="5">
        <v>6</v>
      </c>
      <c r="I147" s="5">
        <v>6</v>
      </c>
      <c r="J147" s="8">
        <v>610000</v>
      </c>
      <c r="K147" s="8">
        <v>600000</v>
      </c>
      <c r="L147" s="8">
        <v>580000</v>
      </c>
    </row>
    <row r="148" spans="1:12">
      <c r="A148" t="s">
        <v>264</v>
      </c>
      <c r="B148" t="s">
        <v>58</v>
      </c>
      <c r="C148" t="s">
        <v>10</v>
      </c>
      <c r="D148" s="7">
        <v>2025</v>
      </c>
      <c r="E148" s="7" t="s">
        <v>42</v>
      </c>
      <c r="F148" t="s">
        <v>43</v>
      </c>
      <c r="G148" t="s">
        <v>12</v>
      </c>
      <c r="H148" s="5">
        <v>7</v>
      </c>
      <c r="I148" s="5">
        <v>7</v>
      </c>
      <c r="J148" s="8">
        <v>635000</v>
      </c>
      <c r="K148" s="8">
        <v>610000</v>
      </c>
      <c r="L148" s="8">
        <v>580000</v>
      </c>
    </row>
    <row r="149" spans="1:12">
      <c r="A149" t="s">
        <v>265</v>
      </c>
      <c r="B149" t="s">
        <v>58</v>
      </c>
      <c r="C149" t="s">
        <v>10</v>
      </c>
      <c r="D149" s="7">
        <v>2025</v>
      </c>
      <c r="E149" s="7" t="s">
        <v>42</v>
      </c>
      <c r="F149" t="s">
        <v>43</v>
      </c>
      <c r="G149" t="s">
        <v>12</v>
      </c>
      <c r="H149" s="5">
        <v>8</v>
      </c>
      <c r="I149" s="5">
        <v>8</v>
      </c>
      <c r="J149" s="8">
        <v>615000</v>
      </c>
      <c r="K149" s="8">
        <v>600000</v>
      </c>
      <c r="L149" s="8">
        <v>580000</v>
      </c>
    </row>
    <row r="150" spans="1:12">
      <c r="A150" t="s">
        <v>266</v>
      </c>
      <c r="B150" t="s">
        <v>58</v>
      </c>
      <c r="C150" t="s">
        <v>10</v>
      </c>
      <c r="D150" s="7">
        <v>2025</v>
      </c>
      <c r="E150" s="7" t="s">
        <v>42</v>
      </c>
      <c r="F150" t="s">
        <v>43</v>
      </c>
      <c r="G150" t="s">
        <v>12</v>
      </c>
      <c r="H150" s="5">
        <v>9</v>
      </c>
      <c r="I150" s="5">
        <v>9</v>
      </c>
      <c r="J150" s="8">
        <v>610000</v>
      </c>
      <c r="K150" s="8">
        <v>600000</v>
      </c>
      <c r="L150" s="8">
        <v>580000</v>
      </c>
    </row>
    <row r="151" spans="1:12">
      <c r="A151" t="s">
        <v>267</v>
      </c>
      <c r="B151" t="s">
        <v>58</v>
      </c>
      <c r="C151" t="s">
        <v>10</v>
      </c>
      <c r="D151" s="7">
        <v>2025</v>
      </c>
      <c r="E151" s="7" t="s">
        <v>42</v>
      </c>
      <c r="F151" t="s">
        <v>43</v>
      </c>
      <c r="G151" t="s">
        <v>12</v>
      </c>
      <c r="H151" s="5">
        <v>10</v>
      </c>
      <c r="I151" s="5">
        <v>10</v>
      </c>
      <c r="J151" s="8">
        <v>620000</v>
      </c>
      <c r="K151" s="8">
        <v>600000</v>
      </c>
      <c r="L151" s="8">
        <v>580000</v>
      </c>
    </row>
    <row r="152" spans="1:12">
      <c r="A152" t="s">
        <v>268</v>
      </c>
      <c r="B152" t="s">
        <v>59</v>
      </c>
      <c r="C152" t="s">
        <v>10</v>
      </c>
      <c r="D152" s="7">
        <v>2025</v>
      </c>
      <c r="E152" s="7" t="s">
        <v>45</v>
      </c>
      <c r="F152" t="s">
        <v>46</v>
      </c>
      <c r="G152" t="s">
        <v>12</v>
      </c>
      <c r="H152" s="5">
        <v>1</v>
      </c>
      <c r="I152" s="5">
        <v>1</v>
      </c>
      <c r="J152" s="8">
        <v>795000</v>
      </c>
      <c r="K152" s="8">
        <v>790000</v>
      </c>
      <c r="L152" s="8">
        <v>815000</v>
      </c>
    </row>
    <row r="153" spans="1:12">
      <c r="A153" t="s">
        <v>269</v>
      </c>
      <c r="B153" t="s">
        <v>59</v>
      </c>
      <c r="C153" t="s">
        <v>10</v>
      </c>
      <c r="D153" s="7">
        <v>2025</v>
      </c>
      <c r="E153" s="7" t="s">
        <v>45</v>
      </c>
      <c r="F153" t="s">
        <v>46</v>
      </c>
      <c r="G153" t="s">
        <v>12</v>
      </c>
      <c r="H153" s="5">
        <v>2</v>
      </c>
      <c r="I153" s="5">
        <v>2</v>
      </c>
      <c r="J153" s="8">
        <v>790000</v>
      </c>
      <c r="K153" s="8">
        <v>785000</v>
      </c>
      <c r="L153" s="8">
        <v>815000</v>
      </c>
    </row>
    <row r="154" spans="1:12">
      <c r="A154" t="s">
        <v>270</v>
      </c>
      <c r="B154" t="s">
        <v>59</v>
      </c>
      <c r="C154" t="s">
        <v>10</v>
      </c>
      <c r="D154" s="7">
        <v>2025</v>
      </c>
      <c r="E154" s="7" t="s">
        <v>45</v>
      </c>
      <c r="F154" t="s">
        <v>46</v>
      </c>
      <c r="G154" t="s">
        <v>12</v>
      </c>
      <c r="H154" s="5">
        <v>3</v>
      </c>
      <c r="I154" s="5">
        <v>3</v>
      </c>
      <c r="J154" s="8">
        <v>805000</v>
      </c>
      <c r="K154" s="8">
        <v>795000</v>
      </c>
      <c r="L154" s="8">
        <v>815000</v>
      </c>
    </row>
    <row r="155" spans="1:12">
      <c r="A155" t="s">
        <v>271</v>
      </c>
      <c r="B155" t="s">
        <v>59</v>
      </c>
      <c r="C155" t="s">
        <v>10</v>
      </c>
      <c r="D155" s="7">
        <v>2025</v>
      </c>
      <c r="E155" s="7" t="s">
        <v>45</v>
      </c>
      <c r="F155" t="s">
        <v>46</v>
      </c>
      <c r="G155" t="s">
        <v>12</v>
      </c>
      <c r="H155" s="5">
        <v>4</v>
      </c>
      <c r="I155" s="5">
        <v>4</v>
      </c>
      <c r="J155" s="8">
        <v>805000</v>
      </c>
      <c r="K155" s="8">
        <v>785000</v>
      </c>
      <c r="L155" s="8">
        <v>815000</v>
      </c>
    </row>
    <row r="156" spans="1:12">
      <c r="A156" t="s">
        <v>272</v>
      </c>
      <c r="B156" t="s">
        <v>59</v>
      </c>
      <c r="C156" t="s">
        <v>10</v>
      </c>
      <c r="D156" s="7">
        <v>2025</v>
      </c>
      <c r="E156" s="7" t="s">
        <v>45</v>
      </c>
      <c r="F156" t="s">
        <v>46</v>
      </c>
      <c r="G156" t="s">
        <v>12</v>
      </c>
      <c r="H156" s="5">
        <v>5</v>
      </c>
      <c r="I156" s="5">
        <v>5</v>
      </c>
      <c r="J156" s="8">
        <v>810000</v>
      </c>
      <c r="K156" s="8">
        <v>800000</v>
      </c>
      <c r="L156" s="8">
        <v>815000</v>
      </c>
    </row>
    <row r="157" spans="1:12">
      <c r="A157" t="s">
        <v>273</v>
      </c>
      <c r="B157" t="s">
        <v>59</v>
      </c>
      <c r="C157" t="s">
        <v>10</v>
      </c>
      <c r="D157" s="7">
        <v>2025</v>
      </c>
      <c r="E157" s="7" t="s">
        <v>45</v>
      </c>
      <c r="F157" t="s">
        <v>46</v>
      </c>
      <c r="G157" t="s">
        <v>12</v>
      </c>
      <c r="H157" s="5">
        <v>6</v>
      </c>
      <c r="I157" s="5">
        <v>6</v>
      </c>
      <c r="J157" s="8">
        <v>810000</v>
      </c>
      <c r="K157" s="8">
        <v>800000</v>
      </c>
      <c r="L157" s="8">
        <v>815000</v>
      </c>
    </row>
    <row r="158" spans="1:12">
      <c r="A158" t="s">
        <v>274</v>
      </c>
      <c r="B158" t="s">
        <v>59</v>
      </c>
      <c r="C158" t="s">
        <v>10</v>
      </c>
      <c r="D158" s="7">
        <v>2025</v>
      </c>
      <c r="E158" s="7" t="s">
        <v>45</v>
      </c>
      <c r="F158" t="s">
        <v>46</v>
      </c>
      <c r="G158" t="s">
        <v>12</v>
      </c>
      <c r="H158" s="5">
        <v>7</v>
      </c>
      <c r="I158" s="5">
        <v>7</v>
      </c>
      <c r="J158" s="8">
        <v>790000</v>
      </c>
      <c r="K158" s="8">
        <v>785000</v>
      </c>
      <c r="L158" s="8">
        <v>815000</v>
      </c>
    </row>
    <row r="159" spans="1:12">
      <c r="A159" t="s">
        <v>275</v>
      </c>
      <c r="B159" t="s">
        <v>59</v>
      </c>
      <c r="C159" t="s">
        <v>10</v>
      </c>
      <c r="D159" s="7">
        <v>2025</v>
      </c>
      <c r="E159" s="7" t="s">
        <v>45</v>
      </c>
      <c r="F159" t="s">
        <v>46</v>
      </c>
      <c r="G159" t="s">
        <v>12</v>
      </c>
      <c r="H159" s="5">
        <v>8</v>
      </c>
      <c r="I159" s="5">
        <v>8</v>
      </c>
      <c r="J159" s="8">
        <v>805000</v>
      </c>
      <c r="K159" s="8">
        <v>790000</v>
      </c>
      <c r="L159" s="8">
        <v>815000</v>
      </c>
    </row>
    <row r="160" spans="1:12">
      <c r="A160" t="s">
        <v>276</v>
      </c>
      <c r="B160" t="s">
        <v>59</v>
      </c>
      <c r="C160" t="s">
        <v>10</v>
      </c>
      <c r="D160" s="7">
        <v>2025</v>
      </c>
      <c r="E160" s="7" t="s">
        <v>45</v>
      </c>
      <c r="F160" t="s">
        <v>46</v>
      </c>
      <c r="G160" t="s">
        <v>12</v>
      </c>
      <c r="H160" s="5">
        <v>9</v>
      </c>
      <c r="I160" s="5">
        <v>9</v>
      </c>
      <c r="J160" s="8">
        <v>795000</v>
      </c>
      <c r="K160" s="8">
        <v>795000</v>
      </c>
      <c r="L160" s="8">
        <v>815000</v>
      </c>
    </row>
    <row r="161" spans="1:12">
      <c r="A161" t="s">
        <v>277</v>
      </c>
      <c r="B161" t="s">
        <v>59</v>
      </c>
      <c r="C161" t="s">
        <v>10</v>
      </c>
      <c r="D161" s="7">
        <v>2025</v>
      </c>
      <c r="E161" s="7" t="s">
        <v>45</v>
      </c>
      <c r="F161" t="s">
        <v>46</v>
      </c>
      <c r="G161" t="s">
        <v>12</v>
      </c>
      <c r="H161" s="5">
        <v>10</v>
      </c>
      <c r="I161" s="5">
        <v>10</v>
      </c>
      <c r="J161" s="8">
        <v>825000</v>
      </c>
      <c r="K161" s="8">
        <v>805000</v>
      </c>
      <c r="L161" s="8">
        <v>815000</v>
      </c>
    </row>
    <row r="162" spans="1:12">
      <c r="A162" t="s">
        <v>278</v>
      </c>
      <c r="B162" t="s">
        <v>60</v>
      </c>
      <c r="C162" t="s">
        <v>10</v>
      </c>
      <c r="D162" s="7">
        <v>2025</v>
      </c>
      <c r="E162" s="7" t="s">
        <v>48</v>
      </c>
      <c r="F162" t="s">
        <v>49</v>
      </c>
      <c r="G162" t="s">
        <v>12</v>
      </c>
      <c r="H162" s="5">
        <v>1</v>
      </c>
      <c r="I162" s="5">
        <v>1</v>
      </c>
      <c r="J162" s="8">
        <v>885000</v>
      </c>
      <c r="K162" s="8">
        <v>860000</v>
      </c>
      <c r="L162" s="8">
        <v>845000</v>
      </c>
    </row>
    <row r="163" spans="1:12">
      <c r="A163" t="s">
        <v>279</v>
      </c>
      <c r="B163" t="s">
        <v>60</v>
      </c>
      <c r="C163" t="s">
        <v>10</v>
      </c>
      <c r="D163" s="7">
        <v>2025</v>
      </c>
      <c r="E163" s="7" t="s">
        <v>48</v>
      </c>
      <c r="F163" t="s">
        <v>49</v>
      </c>
      <c r="G163" t="s">
        <v>12</v>
      </c>
      <c r="H163" s="5">
        <v>2</v>
      </c>
      <c r="I163" s="5">
        <v>2</v>
      </c>
      <c r="J163" s="8">
        <v>880000</v>
      </c>
      <c r="K163" s="8">
        <v>850000</v>
      </c>
      <c r="L163" s="8">
        <v>845000</v>
      </c>
    </row>
    <row r="164" spans="1:12">
      <c r="A164" t="s">
        <v>280</v>
      </c>
      <c r="B164" t="s">
        <v>60</v>
      </c>
      <c r="C164" t="s">
        <v>10</v>
      </c>
      <c r="D164" s="7">
        <v>2025</v>
      </c>
      <c r="E164" s="7" t="s">
        <v>48</v>
      </c>
      <c r="F164" t="s">
        <v>49</v>
      </c>
      <c r="G164" t="s">
        <v>12</v>
      </c>
      <c r="H164" s="5">
        <v>3</v>
      </c>
      <c r="I164" s="5">
        <v>3</v>
      </c>
      <c r="J164" s="8">
        <v>835000</v>
      </c>
      <c r="K164" s="8">
        <v>830000</v>
      </c>
      <c r="L164" s="8">
        <v>845000</v>
      </c>
    </row>
    <row r="165" spans="1:12">
      <c r="A165" t="s">
        <v>281</v>
      </c>
      <c r="B165" t="s">
        <v>60</v>
      </c>
      <c r="C165" t="s">
        <v>10</v>
      </c>
      <c r="D165" s="7">
        <v>2025</v>
      </c>
      <c r="E165" s="7" t="s">
        <v>48</v>
      </c>
      <c r="F165" t="s">
        <v>49</v>
      </c>
      <c r="G165" t="s">
        <v>12</v>
      </c>
      <c r="H165" s="5">
        <v>4</v>
      </c>
      <c r="I165" s="5">
        <v>4</v>
      </c>
      <c r="J165" s="8">
        <v>865000</v>
      </c>
      <c r="K165" s="8">
        <v>850000</v>
      </c>
      <c r="L165" s="8">
        <v>845000</v>
      </c>
    </row>
    <row r="166" spans="1:12">
      <c r="A166" t="s">
        <v>282</v>
      </c>
      <c r="B166" t="s">
        <v>60</v>
      </c>
      <c r="C166" t="s">
        <v>10</v>
      </c>
      <c r="D166" s="7">
        <v>2025</v>
      </c>
      <c r="E166" s="7" t="s">
        <v>48</v>
      </c>
      <c r="F166" t="s">
        <v>49</v>
      </c>
      <c r="G166" t="s">
        <v>12</v>
      </c>
      <c r="H166" s="5">
        <v>5</v>
      </c>
      <c r="I166" s="5">
        <v>5</v>
      </c>
      <c r="J166" s="8">
        <v>875000</v>
      </c>
      <c r="K166" s="8">
        <v>835000</v>
      </c>
      <c r="L166" s="8">
        <v>845000</v>
      </c>
    </row>
    <row r="167" spans="1:12">
      <c r="A167" t="s">
        <v>283</v>
      </c>
      <c r="B167" t="s">
        <v>60</v>
      </c>
      <c r="C167" t="s">
        <v>10</v>
      </c>
      <c r="D167" s="7">
        <v>2025</v>
      </c>
      <c r="E167" s="7" t="s">
        <v>48</v>
      </c>
      <c r="F167" t="s">
        <v>49</v>
      </c>
      <c r="G167" t="s">
        <v>12</v>
      </c>
      <c r="H167" s="5">
        <v>6</v>
      </c>
      <c r="I167" s="5">
        <v>6</v>
      </c>
      <c r="J167" s="8">
        <v>850000</v>
      </c>
      <c r="K167" s="8">
        <v>840000</v>
      </c>
      <c r="L167" s="8">
        <v>845000</v>
      </c>
    </row>
    <row r="168" spans="1:12">
      <c r="A168" t="s">
        <v>284</v>
      </c>
      <c r="B168" t="s">
        <v>60</v>
      </c>
      <c r="C168" t="s">
        <v>10</v>
      </c>
      <c r="D168" s="7">
        <v>2025</v>
      </c>
      <c r="E168" s="7" t="s">
        <v>48</v>
      </c>
      <c r="F168" t="s">
        <v>49</v>
      </c>
      <c r="G168" t="s">
        <v>12</v>
      </c>
      <c r="H168" s="5">
        <v>7</v>
      </c>
      <c r="I168" s="5">
        <v>7</v>
      </c>
      <c r="J168" s="8">
        <v>850000</v>
      </c>
      <c r="K168" s="8">
        <v>850000</v>
      </c>
      <c r="L168" s="8">
        <v>845000</v>
      </c>
    </row>
    <row r="169" spans="1:12">
      <c r="A169" t="s">
        <v>285</v>
      </c>
      <c r="B169" t="s">
        <v>60</v>
      </c>
      <c r="C169" t="s">
        <v>10</v>
      </c>
      <c r="D169" s="7">
        <v>2025</v>
      </c>
      <c r="E169" s="7" t="s">
        <v>48</v>
      </c>
      <c r="F169" t="s">
        <v>49</v>
      </c>
      <c r="G169" t="s">
        <v>12</v>
      </c>
      <c r="H169" s="5">
        <v>8</v>
      </c>
      <c r="I169" s="5">
        <v>8</v>
      </c>
      <c r="J169" s="8">
        <v>900000</v>
      </c>
      <c r="K169" s="8">
        <v>850000</v>
      </c>
      <c r="L169" s="8">
        <v>845000</v>
      </c>
    </row>
    <row r="170" spans="1:12">
      <c r="A170" t="s">
        <v>286</v>
      </c>
      <c r="B170" t="s">
        <v>60</v>
      </c>
      <c r="C170" t="s">
        <v>10</v>
      </c>
      <c r="D170" s="7">
        <v>2025</v>
      </c>
      <c r="E170" s="7" t="s">
        <v>48</v>
      </c>
      <c r="F170" t="s">
        <v>49</v>
      </c>
      <c r="G170" t="s">
        <v>12</v>
      </c>
      <c r="H170" s="5">
        <v>9</v>
      </c>
      <c r="I170" s="5">
        <v>9</v>
      </c>
      <c r="J170" s="8">
        <v>915000</v>
      </c>
      <c r="K170" s="8">
        <v>865000</v>
      </c>
      <c r="L170" s="8">
        <v>845000</v>
      </c>
    </row>
    <row r="171" spans="1:12">
      <c r="A171" t="s">
        <v>287</v>
      </c>
      <c r="B171" t="s">
        <v>60</v>
      </c>
      <c r="C171" t="s">
        <v>10</v>
      </c>
      <c r="D171" s="7">
        <v>2025</v>
      </c>
      <c r="E171" s="7" t="s">
        <v>48</v>
      </c>
      <c r="F171" t="s">
        <v>49</v>
      </c>
      <c r="G171" t="s">
        <v>12</v>
      </c>
      <c r="H171" s="5">
        <v>10</v>
      </c>
      <c r="I171" s="5">
        <v>10</v>
      </c>
      <c r="J171" s="8">
        <v>890000</v>
      </c>
      <c r="K171" s="8">
        <v>860000</v>
      </c>
      <c r="L171" s="8">
        <v>845000</v>
      </c>
    </row>
    <row r="172" spans="1:12">
      <c r="A172" t="s">
        <v>288</v>
      </c>
      <c r="B172" t="s">
        <v>61</v>
      </c>
      <c r="C172" t="s">
        <v>10</v>
      </c>
      <c r="D172" s="7">
        <v>2025</v>
      </c>
      <c r="E172" s="7" t="s">
        <v>51</v>
      </c>
      <c r="F172" t="s">
        <v>52</v>
      </c>
      <c r="G172" t="s">
        <v>12</v>
      </c>
      <c r="H172" s="5">
        <v>1</v>
      </c>
      <c r="I172" s="5">
        <v>1</v>
      </c>
      <c r="J172" s="8">
        <v>700000</v>
      </c>
      <c r="K172" s="8">
        <v>645000</v>
      </c>
      <c r="L172" s="8">
        <v>610000</v>
      </c>
    </row>
    <row r="173" spans="1:12">
      <c r="A173" t="s">
        <v>289</v>
      </c>
      <c r="B173" t="s">
        <v>61</v>
      </c>
      <c r="C173" t="s">
        <v>10</v>
      </c>
      <c r="D173" s="7">
        <v>2025</v>
      </c>
      <c r="E173" s="7" t="s">
        <v>51</v>
      </c>
      <c r="F173" t="s">
        <v>52</v>
      </c>
      <c r="G173" t="s">
        <v>12</v>
      </c>
      <c r="H173" s="5">
        <v>2</v>
      </c>
      <c r="I173" s="5">
        <v>2</v>
      </c>
      <c r="J173" s="8">
        <v>715000</v>
      </c>
      <c r="K173" s="8">
        <v>640000</v>
      </c>
      <c r="L173" s="8">
        <v>610000</v>
      </c>
    </row>
    <row r="174" spans="1:12">
      <c r="A174" t="s">
        <v>290</v>
      </c>
      <c r="B174" t="s">
        <v>61</v>
      </c>
      <c r="C174" t="s">
        <v>10</v>
      </c>
      <c r="D174" s="7">
        <v>2025</v>
      </c>
      <c r="E174" s="7" t="s">
        <v>51</v>
      </c>
      <c r="F174" t="s">
        <v>52</v>
      </c>
      <c r="G174" t="s">
        <v>12</v>
      </c>
      <c r="H174" s="5">
        <v>3</v>
      </c>
      <c r="I174" s="5">
        <v>3</v>
      </c>
      <c r="J174" s="8">
        <v>690000</v>
      </c>
      <c r="K174" s="8">
        <v>645000</v>
      </c>
      <c r="L174" s="8">
        <v>610000</v>
      </c>
    </row>
    <row r="175" spans="1:12">
      <c r="A175" t="s">
        <v>291</v>
      </c>
      <c r="B175" t="s">
        <v>61</v>
      </c>
      <c r="C175" t="s">
        <v>10</v>
      </c>
      <c r="D175" s="7">
        <v>2025</v>
      </c>
      <c r="E175" s="7" t="s">
        <v>51</v>
      </c>
      <c r="F175" t="s">
        <v>52</v>
      </c>
      <c r="G175" t="s">
        <v>12</v>
      </c>
      <c r="H175" s="5">
        <v>4</v>
      </c>
      <c r="I175" s="5">
        <v>4</v>
      </c>
      <c r="J175" s="8">
        <v>700000</v>
      </c>
      <c r="K175" s="8">
        <v>645000</v>
      </c>
      <c r="L175" s="8">
        <v>610000</v>
      </c>
    </row>
    <row r="176" spans="1:12">
      <c r="A176" t="s">
        <v>292</v>
      </c>
      <c r="B176" t="s">
        <v>61</v>
      </c>
      <c r="C176" t="s">
        <v>10</v>
      </c>
      <c r="D176" s="7">
        <v>2025</v>
      </c>
      <c r="E176" s="7" t="s">
        <v>51</v>
      </c>
      <c r="F176" t="s">
        <v>52</v>
      </c>
      <c r="G176" t="s">
        <v>12</v>
      </c>
      <c r="H176" s="5">
        <v>5</v>
      </c>
      <c r="I176" s="5">
        <v>5</v>
      </c>
      <c r="J176" s="8">
        <v>685000</v>
      </c>
      <c r="K176" s="8">
        <v>645000</v>
      </c>
      <c r="L176" s="8">
        <v>610000</v>
      </c>
    </row>
    <row r="177" spans="1:12">
      <c r="A177" t="s">
        <v>293</v>
      </c>
      <c r="B177" t="s">
        <v>61</v>
      </c>
      <c r="C177" t="s">
        <v>10</v>
      </c>
      <c r="D177" s="7">
        <v>2025</v>
      </c>
      <c r="E177" s="7" t="s">
        <v>51</v>
      </c>
      <c r="F177" t="s">
        <v>52</v>
      </c>
      <c r="G177" t="s">
        <v>12</v>
      </c>
      <c r="H177" s="5">
        <v>6</v>
      </c>
      <c r="I177" s="5">
        <v>6</v>
      </c>
      <c r="J177" s="8">
        <v>680000</v>
      </c>
      <c r="K177" s="8">
        <v>642000</v>
      </c>
      <c r="L177" s="8">
        <v>610000</v>
      </c>
    </row>
    <row r="178" spans="1:12">
      <c r="A178" t="s">
        <v>294</v>
      </c>
      <c r="B178" t="s">
        <v>61</v>
      </c>
      <c r="C178" t="s">
        <v>10</v>
      </c>
      <c r="D178" s="7">
        <v>2025</v>
      </c>
      <c r="E178" s="7" t="s">
        <v>51</v>
      </c>
      <c r="F178" t="s">
        <v>52</v>
      </c>
      <c r="G178" t="s">
        <v>12</v>
      </c>
      <c r="H178" s="5">
        <v>7</v>
      </c>
      <c r="I178" s="5">
        <v>7</v>
      </c>
      <c r="J178" s="8">
        <v>710000</v>
      </c>
      <c r="K178" s="8">
        <v>645000</v>
      </c>
      <c r="L178" s="8">
        <v>610000</v>
      </c>
    </row>
    <row r="179" spans="1:12">
      <c r="A179" t="s">
        <v>295</v>
      </c>
      <c r="B179" t="s">
        <v>61</v>
      </c>
      <c r="C179" t="s">
        <v>10</v>
      </c>
      <c r="D179" s="7">
        <v>2025</v>
      </c>
      <c r="E179" s="7" t="s">
        <v>51</v>
      </c>
      <c r="F179" t="s">
        <v>52</v>
      </c>
      <c r="G179" t="s">
        <v>12</v>
      </c>
      <c r="H179" s="5">
        <v>8</v>
      </c>
      <c r="I179" s="5">
        <v>8</v>
      </c>
      <c r="J179" s="8">
        <v>690000</v>
      </c>
      <c r="K179" s="8">
        <v>645000</v>
      </c>
      <c r="L179" s="8">
        <v>610000</v>
      </c>
    </row>
    <row r="180" spans="1:12">
      <c r="A180" t="s">
        <v>296</v>
      </c>
      <c r="B180" t="s">
        <v>61</v>
      </c>
      <c r="C180" t="s">
        <v>10</v>
      </c>
      <c r="D180" s="7">
        <v>2025</v>
      </c>
      <c r="E180" s="7" t="s">
        <v>51</v>
      </c>
      <c r="F180" t="s">
        <v>52</v>
      </c>
      <c r="G180" t="s">
        <v>12</v>
      </c>
      <c r="H180" s="5">
        <v>9</v>
      </c>
      <c r="I180" s="5">
        <v>9</v>
      </c>
      <c r="J180" s="8">
        <v>705000</v>
      </c>
      <c r="K180" s="8">
        <v>650000</v>
      </c>
      <c r="L180" s="8">
        <v>610000</v>
      </c>
    </row>
    <row r="181" spans="1:12">
      <c r="A181" t="s">
        <v>297</v>
      </c>
      <c r="B181" t="s">
        <v>61</v>
      </c>
      <c r="C181" t="s">
        <v>10</v>
      </c>
      <c r="D181" s="7">
        <v>2025</v>
      </c>
      <c r="E181" s="7" t="s">
        <v>51</v>
      </c>
      <c r="F181" t="s">
        <v>52</v>
      </c>
      <c r="G181" t="s">
        <v>12</v>
      </c>
      <c r="H181" s="5">
        <v>10</v>
      </c>
      <c r="I181" s="5">
        <v>10</v>
      </c>
      <c r="J181" s="8">
        <v>680000</v>
      </c>
      <c r="K181" s="8">
        <v>645000</v>
      </c>
      <c r="L181" s="8">
        <v>610000</v>
      </c>
    </row>
    <row r="182" spans="1:12">
      <c r="A182" t="s">
        <v>298</v>
      </c>
      <c r="B182" t="s">
        <v>62</v>
      </c>
      <c r="C182" t="s">
        <v>13</v>
      </c>
      <c r="D182" s="7">
        <v>2025</v>
      </c>
      <c r="E182" s="7" t="s">
        <v>27</v>
      </c>
      <c r="F182" t="s">
        <v>28</v>
      </c>
      <c r="G182" t="s">
        <v>12</v>
      </c>
      <c r="H182" s="5">
        <v>1</v>
      </c>
      <c r="I182" s="5">
        <v>1</v>
      </c>
      <c r="J182" s="8">
        <v>555000</v>
      </c>
      <c r="K182" s="8">
        <v>555000</v>
      </c>
      <c r="L182" s="8">
        <v>518700</v>
      </c>
    </row>
    <row r="183" spans="1:12">
      <c r="A183" t="s">
        <v>299</v>
      </c>
      <c r="B183" t="s">
        <v>62</v>
      </c>
      <c r="C183" t="s">
        <v>13</v>
      </c>
      <c r="D183" s="7">
        <v>2025</v>
      </c>
      <c r="E183" s="7" t="s">
        <v>27</v>
      </c>
      <c r="F183" t="s">
        <v>28</v>
      </c>
      <c r="G183" t="s">
        <v>12</v>
      </c>
      <c r="H183" s="5">
        <v>2</v>
      </c>
      <c r="I183" s="5">
        <v>2</v>
      </c>
      <c r="J183" s="8">
        <v>565000</v>
      </c>
      <c r="K183" s="8">
        <v>560000</v>
      </c>
      <c r="L183" s="8">
        <v>518700</v>
      </c>
    </row>
    <row r="184" spans="1:12">
      <c r="A184" t="s">
        <v>300</v>
      </c>
      <c r="B184" t="s">
        <v>62</v>
      </c>
      <c r="C184" t="s">
        <v>13</v>
      </c>
      <c r="D184" s="7">
        <v>2025</v>
      </c>
      <c r="E184" s="7" t="s">
        <v>27</v>
      </c>
      <c r="F184" t="s">
        <v>28</v>
      </c>
      <c r="G184" t="s">
        <v>12</v>
      </c>
      <c r="H184" s="5">
        <v>3</v>
      </c>
      <c r="I184" s="5">
        <v>3</v>
      </c>
      <c r="J184" s="8">
        <v>565000</v>
      </c>
      <c r="K184" s="8">
        <v>555000</v>
      </c>
      <c r="L184" s="8">
        <v>518700</v>
      </c>
    </row>
    <row r="185" spans="1:12">
      <c r="A185" t="s">
        <v>301</v>
      </c>
      <c r="B185" t="s">
        <v>62</v>
      </c>
      <c r="C185" t="s">
        <v>13</v>
      </c>
      <c r="D185" s="7">
        <v>2025</v>
      </c>
      <c r="E185" s="7" t="s">
        <v>27</v>
      </c>
      <c r="F185" t="s">
        <v>28</v>
      </c>
      <c r="G185" t="s">
        <v>12</v>
      </c>
      <c r="H185" s="5">
        <v>4</v>
      </c>
      <c r="I185" s="5">
        <v>4</v>
      </c>
      <c r="J185" s="8">
        <v>565000</v>
      </c>
      <c r="K185" s="8">
        <v>550000</v>
      </c>
      <c r="L185" s="8">
        <v>518700</v>
      </c>
    </row>
    <row r="186" spans="1:12">
      <c r="A186" t="s">
        <v>302</v>
      </c>
      <c r="B186" t="s">
        <v>62</v>
      </c>
      <c r="C186" t="s">
        <v>13</v>
      </c>
      <c r="D186" s="7">
        <v>2025</v>
      </c>
      <c r="E186" s="7" t="s">
        <v>27</v>
      </c>
      <c r="F186" t="s">
        <v>28</v>
      </c>
      <c r="G186" t="s">
        <v>12</v>
      </c>
      <c r="H186" s="5">
        <v>5</v>
      </c>
      <c r="I186" s="5">
        <v>5</v>
      </c>
      <c r="J186" s="8">
        <v>565000</v>
      </c>
      <c r="K186" s="8">
        <v>555000</v>
      </c>
      <c r="L186" s="8">
        <v>518700</v>
      </c>
    </row>
    <row r="187" spans="1:12">
      <c r="A187" t="s">
        <v>303</v>
      </c>
      <c r="B187" t="s">
        <v>62</v>
      </c>
      <c r="C187" t="s">
        <v>13</v>
      </c>
      <c r="D187" s="7">
        <v>2025</v>
      </c>
      <c r="E187" s="7" t="s">
        <v>27</v>
      </c>
      <c r="F187" t="s">
        <v>28</v>
      </c>
      <c r="G187" t="s">
        <v>12</v>
      </c>
      <c r="H187" s="5">
        <v>6</v>
      </c>
      <c r="I187" s="5">
        <v>6</v>
      </c>
      <c r="J187" s="8">
        <v>555000</v>
      </c>
      <c r="K187" s="8">
        <v>560000</v>
      </c>
      <c r="L187" s="8">
        <v>518700</v>
      </c>
    </row>
    <row r="188" spans="1:12">
      <c r="A188" t="s">
        <v>304</v>
      </c>
      <c r="B188" t="s">
        <v>62</v>
      </c>
      <c r="C188" t="s">
        <v>13</v>
      </c>
      <c r="D188" s="7">
        <v>2025</v>
      </c>
      <c r="E188" s="7" t="s">
        <v>27</v>
      </c>
      <c r="F188" t="s">
        <v>28</v>
      </c>
      <c r="G188" t="s">
        <v>12</v>
      </c>
      <c r="H188" s="5">
        <v>7</v>
      </c>
      <c r="I188" s="5">
        <v>7</v>
      </c>
      <c r="J188" s="8">
        <v>565000</v>
      </c>
      <c r="K188" s="8">
        <v>557500</v>
      </c>
      <c r="L188" s="8">
        <v>518700</v>
      </c>
    </row>
    <row r="189" spans="1:12">
      <c r="A189" t="s">
        <v>305</v>
      </c>
      <c r="B189" t="s">
        <v>62</v>
      </c>
      <c r="C189" t="s">
        <v>13</v>
      </c>
      <c r="D189" s="7">
        <v>2025</v>
      </c>
      <c r="E189" s="7" t="s">
        <v>27</v>
      </c>
      <c r="F189" t="s">
        <v>28</v>
      </c>
      <c r="G189" t="s">
        <v>12</v>
      </c>
      <c r="H189" s="5">
        <v>8</v>
      </c>
      <c r="I189" s="5">
        <v>8</v>
      </c>
      <c r="J189" s="8">
        <v>545000</v>
      </c>
      <c r="K189" s="8">
        <v>550000</v>
      </c>
      <c r="L189" s="8">
        <v>518700</v>
      </c>
    </row>
    <row r="190" spans="1:12">
      <c r="A190" t="s">
        <v>306</v>
      </c>
      <c r="B190" t="s">
        <v>62</v>
      </c>
      <c r="C190" t="s">
        <v>13</v>
      </c>
      <c r="D190" s="7">
        <v>2025</v>
      </c>
      <c r="E190" s="7" t="s">
        <v>27</v>
      </c>
      <c r="F190" t="s">
        <v>28</v>
      </c>
      <c r="G190" t="s">
        <v>12</v>
      </c>
      <c r="H190" s="5">
        <v>9</v>
      </c>
      <c r="I190" s="5">
        <v>9</v>
      </c>
      <c r="J190" s="8">
        <v>560000</v>
      </c>
      <c r="K190" s="8">
        <v>560000</v>
      </c>
      <c r="L190" s="8">
        <v>518700</v>
      </c>
    </row>
    <row r="191" spans="1:12">
      <c r="A191" t="s">
        <v>307</v>
      </c>
      <c r="B191" t="s">
        <v>62</v>
      </c>
      <c r="C191" t="s">
        <v>13</v>
      </c>
      <c r="D191" s="7">
        <v>2025</v>
      </c>
      <c r="E191" s="7" t="s">
        <v>27</v>
      </c>
      <c r="F191" t="s">
        <v>28</v>
      </c>
      <c r="G191" t="s">
        <v>12</v>
      </c>
      <c r="H191" s="5">
        <v>10</v>
      </c>
      <c r="I191" s="5">
        <v>10</v>
      </c>
      <c r="J191" s="8">
        <v>565000</v>
      </c>
      <c r="K191" s="8">
        <v>550000</v>
      </c>
      <c r="L191" s="8">
        <v>518700</v>
      </c>
    </row>
    <row r="192" spans="1:12">
      <c r="A192" t="s">
        <v>308</v>
      </c>
      <c r="B192" t="s">
        <v>63</v>
      </c>
      <c r="C192" t="s">
        <v>13</v>
      </c>
      <c r="D192" s="7">
        <v>2026</v>
      </c>
      <c r="E192" s="7" t="s">
        <v>64</v>
      </c>
      <c r="F192" t="s">
        <v>65</v>
      </c>
      <c r="G192" t="s">
        <v>12</v>
      </c>
      <c r="H192" s="5">
        <v>1</v>
      </c>
      <c r="I192" s="5">
        <v>1</v>
      </c>
      <c r="J192" s="8">
        <v>655000</v>
      </c>
      <c r="K192" s="8">
        <v>635000</v>
      </c>
      <c r="L192" s="8">
        <v>650000</v>
      </c>
    </row>
    <row r="193" spans="1:12">
      <c r="A193" t="s">
        <v>309</v>
      </c>
      <c r="B193" t="s">
        <v>63</v>
      </c>
      <c r="C193" t="s">
        <v>13</v>
      </c>
      <c r="D193" s="7">
        <v>2026</v>
      </c>
      <c r="E193" s="7" t="s">
        <v>64</v>
      </c>
      <c r="F193" t="s">
        <v>65</v>
      </c>
      <c r="G193" t="s">
        <v>12</v>
      </c>
      <c r="H193" s="5">
        <v>2</v>
      </c>
      <c r="I193" s="5">
        <v>2</v>
      </c>
      <c r="J193" s="8">
        <v>655000</v>
      </c>
      <c r="K193" s="8">
        <v>645000</v>
      </c>
      <c r="L193" s="8">
        <v>650000</v>
      </c>
    </row>
    <row r="194" spans="1:12">
      <c r="A194" t="s">
        <v>310</v>
      </c>
      <c r="B194" t="s">
        <v>63</v>
      </c>
      <c r="C194" t="s">
        <v>13</v>
      </c>
      <c r="D194" s="7">
        <v>2026</v>
      </c>
      <c r="E194" s="7" t="s">
        <v>64</v>
      </c>
      <c r="F194" t="s">
        <v>65</v>
      </c>
      <c r="G194" t="s">
        <v>12</v>
      </c>
      <c r="H194" s="5">
        <v>3</v>
      </c>
      <c r="I194" s="5">
        <v>5</v>
      </c>
      <c r="J194" s="8">
        <v>680000</v>
      </c>
      <c r="K194" s="8">
        <v>635000</v>
      </c>
      <c r="L194" s="8">
        <v>650000</v>
      </c>
    </row>
    <row r="195" spans="1:12">
      <c r="A195" t="s">
        <v>311</v>
      </c>
      <c r="B195" t="s">
        <v>63</v>
      </c>
      <c r="C195" t="s">
        <v>13</v>
      </c>
      <c r="D195" s="7">
        <v>2026</v>
      </c>
      <c r="E195" s="7" t="s">
        <v>64</v>
      </c>
      <c r="F195" t="s">
        <v>65</v>
      </c>
      <c r="G195" t="s">
        <v>12</v>
      </c>
      <c r="H195" s="5">
        <v>4</v>
      </c>
      <c r="I195" s="5">
        <v>6</v>
      </c>
      <c r="J195" s="8">
        <v>650000</v>
      </c>
      <c r="K195" s="8">
        <v>640000</v>
      </c>
      <c r="L195" s="8">
        <v>650000</v>
      </c>
    </row>
    <row r="196" spans="1:12">
      <c r="A196" t="s">
        <v>312</v>
      </c>
      <c r="B196" t="s">
        <v>63</v>
      </c>
      <c r="C196" t="s">
        <v>13</v>
      </c>
      <c r="D196" s="7">
        <v>2026</v>
      </c>
      <c r="E196" s="7" t="s">
        <v>64</v>
      </c>
      <c r="F196" t="s">
        <v>65</v>
      </c>
      <c r="G196" t="s">
        <v>12</v>
      </c>
      <c r="H196" s="5">
        <v>5</v>
      </c>
      <c r="I196" s="5">
        <v>7</v>
      </c>
      <c r="J196" s="8">
        <v>660000</v>
      </c>
      <c r="K196" s="8">
        <v>640000</v>
      </c>
      <c r="L196" s="8">
        <v>650000</v>
      </c>
    </row>
    <row r="197" spans="1:12">
      <c r="A197" t="s">
        <v>313</v>
      </c>
      <c r="B197" t="s">
        <v>63</v>
      </c>
      <c r="C197" t="s">
        <v>13</v>
      </c>
      <c r="D197" s="7">
        <v>2026</v>
      </c>
      <c r="E197" s="7" t="s">
        <v>64</v>
      </c>
      <c r="F197" t="s">
        <v>65</v>
      </c>
      <c r="G197" t="s">
        <v>12</v>
      </c>
      <c r="H197" s="5">
        <v>6</v>
      </c>
      <c r="I197" s="5">
        <v>8</v>
      </c>
      <c r="J197" s="8">
        <v>650000</v>
      </c>
      <c r="K197" s="8">
        <v>635000</v>
      </c>
      <c r="L197" s="8">
        <v>650000</v>
      </c>
    </row>
    <row r="198" spans="1:12">
      <c r="A198" t="s">
        <v>314</v>
      </c>
      <c r="B198" t="s">
        <v>63</v>
      </c>
      <c r="C198" t="s">
        <v>13</v>
      </c>
      <c r="D198" s="7">
        <v>2026</v>
      </c>
      <c r="E198" s="7" t="s">
        <v>64</v>
      </c>
      <c r="F198" t="s">
        <v>65</v>
      </c>
      <c r="G198" t="s">
        <v>12</v>
      </c>
      <c r="H198" s="5">
        <v>7</v>
      </c>
      <c r="I198" s="5">
        <v>9</v>
      </c>
      <c r="J198" s="8">
        <v>650000</v>
      </c>
      <c r="K198" s="8">
        <v>640000</v>
      </c>
      <c r="L198" s="8">
        <v>650000</v>
      </c>
    </row>
    <row r="199" spans="1:12">
      <c r="A199" t="s">
        <v>315</v>
      </c>
      <c r="B199" t="s">
        <v>63</v>
      </c>
      <c r="C199" t="s">
        <v>13</v>
      </c>
      <c r="D199" s="7">
        <v>2026</v>
      </c>
      <c r="E199" s="7" t="s">
        <v>64</v>
      </c>
      <c r="F199" t="s">
        <v>65</v>
      </c>
      <c r="G199" t="s">
        <v>12</v>
      </c>
      <c r="H199" s="5">
        <v>8</v>
      </c>
      <c r="I199" s="5">
        <v>10</v>
      </c>
      <c r="J199" s="8">
        <v>640000</v>
      </c>
      <c r="K199" s="8">
        <v>625000</v>
      </c>
      <c r="L199" s="8">
        <v>650000</v>
      </c>
    </row>
    <row r="200" spans="1:12">
      <c r="A200" t="s">
        <v>316</v>
      </c>
      <c r="B200" t="s">
        <v>63</v>
      </c>
      <c r="C200" t="s">
        <v>13</v>
      </c>
      <c r="D200" s="7">
        <v>2026</v>
      </c>
      <c r="E200" s="7" t="s">
        <v>64</v>
      </c>
      <c r="F200" t="s">
        <v>65</v>
      </c>
      <c r="G200" t="s">
        <v>12</v>
      </c>
      <c r="H200" s="5">
        <v>9</v>
      </c>
      <c r="I200" s="5">
        <v>11</v>
      </c>
      <c r="J200" s="8">
        <v>655000</v>
      </c>
      <c r="K200" s="8">
        <v>650000</v>
      </c>
      <c r="L200" s="8">
        <v>650000</v>
      </c>
    </row>
    <row r="201" spans="1:12">
      <c r="A201" t="s">
        <v>317</v>
      </c>
      <c r="B201" t="s">
        <v>63</v>
      </c>
      <c r="C201" t="s">
        <v>13</v>
      </c>
      <c r="D201" s="7">
        <v>2026</v>
      </c>
      <c r="E201" s="7" t="s">
        <v>64</v>
      </c>
      <c r="F201" t="s">
        <v>65</v>
      </c>
      <c r="G201" t="s">
        <v>12</v>
      </c>
      <c r="H201" s="5">
        <v>10</v>
      </c>
      <c r="I201" s="5">
        <v>12</v>
      </c>
      <c r="J201" s="8">
        <v>655000</v>
      </c>
      <c r="K201" s="8">
        <v>635000</v>
      </c>
      <c r="L201" s="8">
        <v>650000</v>
      </c>
    </row>
    <row r="202" spans="1:12">
      <c r="A202" t="s">
        <v>318</v>
      </c>
      <c r="B202" t="s">
        <v>66</v>
      </c>
      <c r="C202" t="s">
        <v>13</v>
      </c>
      <c r="D202" s="7">
        <v>2025</v>
      </c>
      <c r="E202" s="7" t="s">
        <v>30</v>
      </c>
      <c r="F202" t="s">
        <v>31</v>
      </c>
      <c r="G202" t="s">
        <v>12</v>
      </c>
      <c r="H202" s="5">
        <v>1</v>
      </c>
      <c r="I202" s="5">
        <v>1</v>
      </c>
      <c r="J202" s="8">
        <v>715000</v>
      </c>
      <c r="K202" s="8">
        <v>700000</v>
      </c>
      <c r="L202" s="8">
        <v>675000</v>
      </c>
    </row>
    <row r="203" spans="1:12">
      <c r="A203" t="s">
        <v>319</v>
      </c>
      <c r="B203" t="s">
        <v>66</v>
      </c>
      <c r="C203" t="s">
        <v>13</v>
      </c>
      <c r="D203" s="7">
        <v>2025</v>
      </c>
      <c r="E203" s="7" t="s">
        <v>30</v>
      </c>
      <c r="F203" t="s">
        <v>31</v>
      </c>
      <c r="G203" t="s">
        <v>12</v>
      </c>
      <c r="H203" s="5">
        <v>2</v>
      </c>
      <c r="I203" s="5">
        <v>2</v>
      </c>
      <c r="J203" s="8">
        <v>700000</v>
      </c>
      <c r="K203" s="8">
        <v>690000</v>
      </c>
      <c r="L203" s="8">
        <v>675000</v>
      </c>
    </row>
    <row r="204" spans="1:12">
      <c r="A204" t="s">
        <v>320</v>
      </c>
      <c r="B204" t="s">
        <v>66</v>
      </c>
      <c r="C204" t="s">
        <v>13</v>
      </c>
      <c r="D204" s="7">
        <v>2025</v>
      </c>
      <c r="E204" s="7" t="s">
        <v>30</v>
      </c>
      <c r="F204" t="s">
        <v>31</v>
      </c>
      <c r="G204" t="s">
        <v>12</v>
      </c>
      <c r="H204" s="5">
        <v>3</v>
      </c>
      <c r="I204" s="5">
        <v>3</v>
      </c>
      <c r="J204" s="8">
        <v>690000</v>
      </c>
      <c r="K204" s="8">
        <v>690000</v>
      </c>
      <c r="L204" s="8">
        <v>675000</v>
      </c>
    </row>
    <row r="205" spans="1:12">
      <c r="A205" t="s">
        <v>321</v>
      </c>
      <c r="B205" t="s">
        <v>66</v>
      </c>
      <c r="C205" t="s">
        <v>13</v>
      </c>
      <c r="D205" s="7">
        <v>2025</v>
      </c>
      <c r="E205" s="7" t="s">
        <v>30</v>
      </c>
      <c r="F205" t="s">
        <v>31</v>
      </c>
      <c r="G205" t="s">
        <v>12</v>
      </c>
      <c r="H205" s="5">
        <v>4</v>
      </c>
      <c r="I205" s="5">
        <v>4</v>
      </c>
      <c r="J205" s="8">
        <v>715000</v>
      </c>
      <c r="K205" s="8">
        <v>690000</v>
      </c>
      <c r="L205" s="8">
        <v>675000</v>
      </c>
    </row>
    <row r="206" spans="1:12">
      <c r="A206" t="s">
        <v>322</v>
      </c>
      <c r="B206" t="s">
        <v>66</v>
      </c>
      <c r="C206" t="s">
        <v>13</v>
      </c>
      <c r="D206" s="7">
        <v>2025</v>
      </c>
      <c r="E206" s="7" t="s">
        <v>30</v>
      </c>
      <c r="F206" t="s">
        <v>31</v>
      </c>
      <c r="G206" t="s">
        <v>12</v>
      </c>
      <c r="H206" s="5">
        <v>5</v>
      </c>
      <c r="I206" s="5">
        <v>5</v>
      </c>
      <c r="J206" s="8">
        <v>710000</v>
      </c>
      <c r="K206" s="8">
        <v>695000</v>
      </c>
      <c r="L206" s="8">
        <v>675000</v>
      </c>
    </row>
    <row r="207" spans="1:12">
      <c r="A207" t="s">
        <v>323</v>
      </c>
      <c r="B207" t="s">
        <v>66</v>
      </c>
      <c r="C207" t="s">
        <v>13</v>
      </c>
      <c r="D207" s="7">
        <v>2025</v>
      </c>
      <c r="E207" s="7" t="s">
        <v>30</v>
      </c>
      <c r="F207" t="s">
        <v>31</v>
      </c>
      <c r="G207" t="s">
        <v>12</v>
      </c>
      <c r="H207" s="5">
        <v>6</v>
      </c>
      <c r="I207" s="5">
        <v>6</v>
      </c>
      <c r="J207" s="8">
        <v>700000</v>
      </c>
      <c r="K207" s="8">
        <v>690000</v>
      </c>
      <c r="L207" s="8">
        <v>675000</v>
      </c>
    </row>
    <row r="208" spans="1:12">
      <c r="A208" t="s">
        <v>324</v>
      </c>
      <c r="B208" t="s">
        <v>66</v>
      </c>
      <c r="C208" t="s">
        <v>13</v>
      </c>
      <c r="D208" s="7">
        <v>2025</v>
      </c>
      <c r="E208" s="7" t="s">
        <v>30</v>
      </c>
      <c r="F208" t="s">
        <v>31</v>
      </c>
      <c r="G208" t="s">
        <v>12</v>
      </c>
      <c r="H208" s="5">
        <v>7</v>
      </c>
      <c r="I208" s="5">
        <v>7</v>
      </c>
      <c r="J208" s="8">
        <v>710000</v>
      </c>
      <c r="K208" s="8">
        <v>695000</v>
      </c>
      <c r="L208" s="8">
        <v>675000</v>
      </c>
    </row>
    <row r="209" spans="1:12">
      <c r="A209" t="s">
        <v>325</v>
      </c>
      <c r="B209" t="s">
        <v>66</v>
      </c>
      <c r="C209" t="s">
        <v>13</v>
      </c>
      <c r="D209" s="7">
        <v>2025</v>
      </c>
      <c r="E209" s="7" t="s">
        <v>30</v>
      </c>
      <c r="F209" t="s">
        <v>31</v>
      </c>
      <c r="G209" t="s">
        <v>12</v>
      </c>
      <c r="H209" s="5">
        <v>8</v>
      </c>
      <c r="I209" s="5">
        <v>9</v>
      </c>
      <c r="J209" s="8">
        <v>700000</v>
      </c>
      <c r="K209" s="8">
        <v>695000</v>
      </c>
      <c r="L209" s="8">
        <v>675000</v>
      </c>
    </row>
    <row r="210" spans="1:12">
      <c r="A210" t="s">
        <v>326</v>
      </c>
      <c r="B210" t="s">
        <v>66</v>
      </c>
      <c r="C210" t="s">
        <v>13</v>
      </c>
      <c r="D210" s="7">
        <v>2025</v>
      </c>
      <c r="E210" s="7" t="s">
        <v>30</v>
      </c>
      <c r="F210" t="s">
        <v>31</v>
      </c>
      <c r="G210" t="s">
        <v>12</v>
      </c>
      <c r="H210" s="5">
        <v>9</v>
      </c>
      <c r="I210" s="5">
        <v>10</v>
      </c>
      <c r="J210" s="8">
        <v>725000</v>
      </c>
      <c r="K210" s="8">
        <v>695000</v>
      </c>
      <c r="L210" s="8">
        <v>675000</v>
      </c>
    </row>
    <row r="211" spans="1:12">
      <c r="A211" t="s">
        <v>327</v>
      </c>
      <c r="B211" t="s">
        <v>66</v>
      </c>
      <c r="C211" t="s">
        <v>13</v>
      </c>
      <c r="D211" s="7">
        <v>2025</v>
      </c>
      <c r="E211" s="7" t="s">
        <v>30</v>
      </c>
      <c r="F211" t="s">
        <v>31</v>
      </c>
      <c r="G211" t="s">
        <v>12</v>
      </c>
      <c r="H211" s="5">
        <v>10</v>
      </c>
      <c r="I211" s="5">
        <v>11</v>
      </c>
      <c r="J211" s="8">
        <v>715000</v>
      </c>
      <c r="K211" s="8">
        <v>695000</v>
      </c>
      <c r="L211" s="8">
        <v>675000</v>
      </c>
    </row>
    <row r="212" spans="1:12">
      <c r="A212" t="s">
        <v>328</v>
      </c>
      <c r="B212" t="s">
        <v>67</v>
      </c>
      <c r="C212" t="s">
        <v>13</v>
      </c>
      <c r="D212" s="7">
        <v>2025</v>
      </c>
      <c r="E212" s="7" t="s">
        <v>33</v>
      </c>
      <c r="F212" t="s">
        <v>34</v>
      </c>
      <c r="G212" t="s">
        <v>12</v>
      </c>
      <c r="H212" s="5">
        <v>1</v>
      </c>
      <c r="I212" s="5">
        <v>1</v>
      </c>
      <c r="J212" s="8">
        <v>650000</v>
      </c>
      <c r="K212" s="8">
        <v>650000</v>
      </c>
      <c r="L212" s="8">
        <v>620000</v>
      </c>
    </row>
    <row r="213" spans="1:12">
      <c r="A213" t="s">
        <v>329</v>
      </c>
      <c r="B213" t="s">
        <v>67</v>
      </c>
      <c r="C213" t="s">
        <v>13</v>
      </c>
      <c r="D213" s="7">
        <v>2025</v>
      </c>
      <c r="E213" s="7" t="s">
        <v>33</v>
      </c>
      <c r="F213" t="s">
        <v>34</v>
      </c>
      <c r="G213" t="s">
        <v>12</v>
      </c>
      <c r="H213" s="5">
        <v>2</v>
      </c>
      <c r="I213" s="5">
        <v>2</v>
      </c>
      <c r="J213" s="8">
        <v>635000</v>
      </c>
      <c r="K213" s="8">
        <v>650000</v>
      </c>
      <c r="L213" s="8">
        <v>620000</v>
      </c>
    </row>
    <row r="214" spans="1:12">
      <c r="A214" t="s">
        <v>330</v>
      </c>
      <c r="B214" t="s">
        <v>67</v>
      </c>
      <c r="C214" t="s">
        <v>13</v>
      </c>
      <c r="D214" s="7">
        <v>2025</v>
      </c>
      <c r="E214" s="7" t="s">
        <v>33</v>
      </c>
      <c r="F214" t="s">
        <v>34</v>
      </c>
      <c r="G214" t="s">
        <v>12</v>
      </c>
      <c r="H214" s="5">
        <v>3</v>
      </c>
      <c r="I214" s="5">
        <v>3</v>
      </c>
      <c r="J214" s="8">
        <v>655000</v>
      </c>
      <c r="K214" s="8">
        <v>660000</v>
      </c>
      <c r="L214" s="8">
        <v>620000</v>
      </c>
    </row>
    <row r="215" spans="1:12">
      <c r="A215" t="s">
        <v>331</v>
      </c>
      <c r="B215" t="s">
        <v>67</v>
      </c>
      <c r="C215" t="s">
        <v>13</v>
      </c>
      <c r="D215" s="7">
        <v>2025</v>
      </c>
      <c r="E215" s="7" t="s">
        <v>33</v>
      </c>
      <c r="F215" t="s">
        <v>34</v>
      </c>
      <c r="G215" t="s">
        <v>12</v>
      </c>
      <c r="H215" s="5">
        <v>4</v>
      </c>
      <c r="I215" s="5">
        <v>4</v>
      </c>
      <c r="J215" s="8">
        <v>650000</v>
      </c>
      <c r="K215" s="8">
        <v>660000</v>
      </c>
      <c r="L215" s="8">
        <v>620000</v>
      </c>
    </row>
    <row r="216" spans="1:12">
      <c r="A216" t="s">
        <v>332</v>
      </c>
      <c r="B216" t="s">
        <v>67</v>
      </c>
      <c r="C216" t="s">
        <v>13</v>
      </c>
      <c r="D216" s="7">
        <v>2025</v>
      </c>
      <c r="E216" s="7" t="s">
        <v>33</v>
      </c>
      <c r="F216" t="s">
        <v>34</v>
      </c>
      <c r="G216" t="s">
        <v>12</v>
      </c>
      <c r="H216" s="5">
        <v>5</v>
      </c>
      <c r="I216" s="5">
        <v>5</v>
      </c>
      <c r="J216" s="8">
        <v>650000</v>
      </c>
      <c r="K216" s="8">
        <v>657500</v>
      </c>
      <c r="L216" s="8">
        <v>620000</v>
      </c>
    </row>
    <row r="217" spans="1:12">
      <c r="A217" t="s">
        <v>333</v>
      </c>
      <c r="B217" t="s">
        <v>67</v>
      </c>
      <c r="C217" t="s">
        <v>13</v>
      </c>
      <c r="D217" s="7">
        <v>2025</v>
      </c>
      <c r="E217" s="7" t="s">
        <v>33</v>
      </c>
      <c r="F217" t="s">
        <v>34</v>
      </c>
      <c r="G217" t="s">
        <v>12</v>
      </c>
      <c r="H217" s="5">
        <v>6</v>
      </c>
      <c r="I217" s="5">
        <v>7</v>
      </c>
      <c r="J217" s="8">
        <v>660000</v>
      </c>
      <c r="K217" s="8">
        <v>665000</v>
      </c>
      <c r="L217" s="8">
        <v>620000</v>
      </c>
    </row>
    <row r="218" spans="1:12">
      <c r="A218" t="s">
        <v>334</v>
      </c>
      <c r="B218" t="s">
        <v>67</v>
      </c>
      <c r="C218" t="s">
        <v>13</v>
      </c>
      <c r="D218" s="7">
        <v>2025</v>
      </c>
      <c r="E218" s="7" t="s">
        <v>33</v>
      </c>
      <c r="F218" t="s">
        <v>34</v>
      </c>
      <c r="G218" t="s">
        <v>12</v>
      </c>
      <c r="H218" s="5">
        <v>7</v>
      </c>
      <c r="I218" s="5">
        <v>8</v>
      </c>
      <c r="J218" s="8">
        <v>635000</v>
      </c>
      <c r="K218" s="8">
        <v>650000</v>
      </c>
      <c r="L218" s="8">
        <v>620000</v>
      </c>
    </row>
    <row r="219" spans="1:12">
      <c r="A219" t="s">
        <v>335</v>
      </c>
      <c r="B219" t="s">
        <v>67</v>
      </c>
      <c r="C219" t="s">
        <v>13</v>
      </c>
      <c r="D219" s="7">
        <v>2025</v>
      </c>
      <c r="E219" s="7" t="s">
        <v>33</v>
      </c>
      <c r="F219" t="s">
        <v>34</v>
      </c>
      <c r="G219" t="s">
        <v>12</v>
      </c>
      <c r="H219" s="5">
        <v>8</v>
      </c>
      <c r="I219" s="5">
        <v>9</v>
      </c>
      <c r="J219" s="8">
        <v>650000</v>
      </c>
      <c r="K219" s="8">
        <v>665000</v>
      </c>
      <c r="L219" s="8">
        <v>620000</v>
      </c>
    </row>
    <row r="220" spans="1:12">
      <c r="A220" t="s">
        <v>336</v>
      </c>
      <c r="B220" t="s">
        <v>67</v>
      </c>
      <c r="C220" t="s">
        <v>13</v>
      </c>
      <c r="D220" s="7">
        <v>2025</v>
      </c>
      <c r="E220" s="7" t="s">
        <v>33</v>
      </c>
      <c r="F220" t="s">
        <v>34</v>
      </c>
      <c r="G220" t="s">
        <v>12</v>
      </c>
      <c r="H220" s="5">
        <v>9</v>
      </c>
      <c r="I220" s="5">
        <v>10</v>
      </c>
      <c r="J220" s="8">
        <v>635000</v>
      </c>
      <c r="K220" s="8">
        <v>655000</v>
      </c>
      <c r="L220" s="8">
        <v>620000</v>
      </c>
    </row>
    <row r="221" spans="1:12">
      <c r="A221" t="s">
        <v>337</v>
      </c>
      <c r="B221" t="s">
        <v>67</v>
      </c>
      <c r="C221" t="s">
        <v>13</v>
      </c>
      <c r="D221" s="7">
        <v>2025</v>
      </c>
      <c r="E221" s="7" t="s">
        <v>33</v>
      </c>
      <c r="F221" t="s">
        <v>34</v>
      </c>
      <c r="G221" t="s">
        <v>12</v>
      </c>
      <c r="H221" s="5">
        <v>10</v>
      </c>
      <c r="I221" s="5">
        <v>11</v>
      </c>
      <c r="J221" s="8">
        <v>650000</v>
      </c>
      <c r="K221" s="8">
        <v>660000</v>
      </c>
      <c r="L221" s="8">
        <v>620000</v>
      </c>
    </row>
    <row r="222" spans="1:12">
      <c r="A222" t="s">
        <v>338</v>
      </c>
      <c r="B222" t="s">
        <v>68</v>
      </c>
      <c r="C222" t="s">
        <v>13</v>
      </c>
      <c r="D222" s="7">
        <v>2025</v>
      </c>
      <c r="E222" s="7" t="s">
        <v>39</v>
      </c>
      <c r="F222" t="s">
        <v>40</v>
      </c>
      <c r="G222" t="s">
        <v>12</v>
      </c>
      <c r="H222" s="5">
        <v>1</v>
      </c>
      <c r="I222" s="5">
        <v>1</v>
      </c>
      <c r="J222" s="8">
        <v>885000</v>
      </c>
      <c r="K222" s="8">
        <v>895000</v>
      </c>
      <c r="L222" s="8">
        <v>910000</v>
      </c>
    </row>
    <row r="223" spans="1:12">
      <c r="A223" t="s">
        <v>339</v>
      </c>
      <c r="B223" t="s">
        <v>68</v>
      </c>
      <c r="C223" t="s">
        <v>13</v>
      </c>
      <c r="D223" s="7">
        <v>2025</v>
      </c>
      <c r="E223" s="7" t="s">
        <v>39</v>
      </c>
      <c r="F223" t="s">
        <v>40</v>
      </c>
      <c r="G223" t="s">
        <v>12</v>
      </c>
      <c r="H223" s="5">
        <v>2</v>
      </c>
      <c r="I223" s="5">
        <v>2</v>
      </c>
      <c r="J223" s="8">
        <v>875000</v>
      </c>
      <c r="K223" s="8">
        <v>895000</v>
      </c>
      <c r="L223" s="8">
        <v>910000</v>
      </c>
    </row>
    <row r="224" spans="1:12">
      <c r="A224" t="s">
        <v>340</v>
      </c>
      <c r="B224" t="s">
        <v>68</v>
      </c>
      <c r="C224" t="s">
        <v>13</v>
      </c>
      <c r="D224" s="7">
        <v>2025</v>
      </c>
      <c r="E224" s="7" t="s">
        <v>39</v>
      </c>
      <c r="F224" t="s">
        <v>40</v>
      </c>
      <c r="G224" t="s">
        <v>12</v>
      </c>
      <c r="H224" s="5">
        <v>3</v>
      </c>
      <c r="I224" s="5">
        <v>3</v>
      </c>
      <c r="J224" s="8">
        <v>875000</v>
      </c>
      <c r="K224" s="8">
        <v>900000</v>
      </c>
      <c r="L224" s="8">
        <v>910000</v>
      </c>
    </row>
    <row r="225" spans="1:12">
      <c r="A225" t="s">
        <v>341</v>
      </c>
      <c r="B225" t="s">
        <v>68</v>
      </c>
      <c r="C225" t="s">
        <v>13</v>
      </c>
      <c r="D225" s="7">
        <v>2025</v>
      </c>
      <c r="E225" s="7" t="s">
        <v>39</v>
      </c>
      <c r="F225" t="s">
        <v>40</v>
      </c>
      <c r="G225" t="s">
        <v>12</v>
      </c>
      <c r="H225" s="5">
        <v>4</v>
      </c>
      <c r="I225" s="5">
        <v>5</v>
      </c>
      <c r="J225" s="8">
        <v>900000</v>
      </c>
      <c r="K225" s="8">
        <v>910000</v>
      </c>
      <c r="L225" s="8">
        <v>910000</v>
      </c>
    </row>
    <row r="226" spans="1:12">
      <c r="A226" t="s">
        <v>342</v>
      </c>
      <c r="B226" t="s">
        <v>68</v>
      </c>
      <c r="C226" t="s">
        <v>13</v>
      </c>
      <c r="D226" s="7">
        <v>2025</v>
      </c>
      <c r="E226" s="7" t="s">
        <v>39</v>
      </c>
      <c r="F226" t="s">
        <v>40</v>
      </c>
      <c r="G226" t="s">
        <v>12</v>
      </c>
      <c r="H226" s="5">
        <v>5</v>
      </c>
      <c r="I226" s="5">
        <v>6</v>
      </c>
      <c r="J226" s="8">
        <v>900000</v>
      </c>
      <c r="K226" s="8">
        <v>910000</v>
      </c>
      <c r="L226" s="8">
        <v>910000</v>
      </c>
    </row>
    <row r="227" spans="1:12">
      <c r="A227" t="s">
        <v>343</v>
      </c>
      <c r="B227" t="s">
        <v>68</v>
      </c>
      <c r="C227" t="s">
        <v>13</v>
      </c>
      <c r="D227" s="7">
        <v>2025</v>
      </c>
      <c r="E227" s="7" t="s">
        <v>39</v>
      </c>
      <c r="F227" t="s">
        <v>40</v>
      </c>
      <c r="G227" t="s">
        <v>12</v>
      </c>
      <c r="H227" s="5">
        <v>6</v>
      </c>
      <c r="I227" s="5">
        <v>7</v>
      </c>
      <c r="J227" s="8">
        <v>880000</v>
      </c>
      <c r="K227" s="8">
        <v>900000</v>
      </c>
      <c r="L227" s="8">
        <v>910000</v>
      </c>
    </row>
    <row r="228" spans="1:12">
      <c r="A228" t="s">
        <v>344</v>
      </c>
      <c r="B228" t="s">
        <v>68</v>
      </c>
      <c r="C228" t="s">
        <v>13</v>
      </c>
      <c r="D228" s="7">
        <v>2025</v>
      </c>
      <c r="E228" s="7" t="s">
        <v>39</v>
      </c>
      <c r="F228" t="s">
        <v>40</v>
      </c>
      <c r="G228" t="s">
        <v>12</v>
      </c>
      <c r="H228" s="5">
        <v>7</v>
      </c>
      <c r="I228" s="5">
        <v>9</v>
      </c>
      <c r="J228" s="8">
        <v>890000</v>
      </c>
      <c r="K228" s="8">
        <v>905000</v>
      </c>
      <c r="L228" s="8">
        <v>910000</v>
      </c>
    </row>
    <row r="229" spans="1:12">
      <c r="A229" t="s">
        <v>345</v>
      </c>
      <c r="B229" t="s">
        <v>68</v>
      </c>
      <c r="C229" t="s">
        <v>13</v>
      </c>
      <c r="D229" s="7">
        <v>2025</v>
      </c>
      <c r="E229" s="7" t="s">
        <v>39</v>
      </c>
      <c r="F229" t="s">
        <v>40</v>
      </c>
      <c r="G229" t="s">
        <v>12</v>
      </c>
      <c r="H229" s="5">
        <v>8</v>
      </c>
      <c r="I229" s="5">
        <v>10</v>
      </c>
      <c r="J229" s="8">
        <v>900000</v>
      </c>
      <c r="K229" s="8">
        <v>910000</v>
      </c>
      <c r="L229" s="8">
        <v>910000</v>
      </c>
    </row>
    <row r="230" spans="1:12">
      <c r="A230" t="s">
        <v>346</v>
      </c>
      <c r="B230" t="s">
        <v>68</v>
      </c>
      <c r="C230" t="s">
        <v>13</v>
      </c>
      <c r="D230" s="7">
        <v>2025</v>
      </c>
      <c r="E230" s="7" t="s">
        <v>39</v>
      </c>
      <c r="F230" t="s">
        <v>40</v>
      </c>
      <c r="G230" t="s">
        <v>12</v>
      </c>
      <c r="H230" s="5">
        <v>9</v>
      </c>
      <c r="I230" s="5">
        <v>11</v>
      </c>
      <c r="J230" s="8">
        <v>900000</v>
      </c>
      <c r="K230" s="8">
        <v>905000</v>
      </c>
      <c r="L230" s="8">
        <v>910000</v>
      </c>
    </row>
    <row r="231" spans="1:12">
      <c r="A231" t="s">
        <v>347</v>
      </c>
      <c r="B231" t="s">
        <v>68</v>
      </c>
      <c r="C231" t="s">
        <v>13</v>
      </c>
      <c r="D231" s="7">
        <v>2025</v>
      </c>
      <c r="E231" s="7" t="s">
        <v>39</v>
      </c>
      <c r="F231" t="s">
        <v>40</v>
      </c>
      <c r="G231" t="s">
        <v>12</v>
      </c>
      <c r="H231" s="5">
        <v>10</v>
      </c>
      <c r="I231" s="5">
        <v>12</v>
      </c>
      <c r="J231" s="8">
        <v>900000</v>
      </c>
      <c r="K231" s="8">
        <v>900000</v>
      </c>
      <c r="L231" s="8">
        <v>910000</v>
      </c>
    </row>
    <row r="232" spans="1:12">
      <c r="A232" t="s">
        <v>348</v>
      </c>
      <c r="B232" t="s">
        <v>69</v>
      </c>
      <c r="C232" t="s">
        <v>13</v>
      </c>
      <c r="D232" s="7">
        <v>2025</v>
      </c>
      <c r="E232" s="7" t="s">
        <v>42</v>
      </c>
      <c r="F232" t="s">
        <v>43</v>
      </c>
      <c r="G232" t="s">
        <v>12</v>
      </c>
      <c r="H232" s="5">
        <v>1</v>
      </c>
      <c r="I232" s="5">
        <v>1</v>
      </c>
      <c r="J232" s="8">
        <v>625000</v>
      </c>
      <c r="K232" s="8">
        <v>610000</v>
      </c>
      <c r="L232" s="8">
        <v>580000</v>
      </c>
    </row>
    <row r="233" spans="1:12">
      <c r="A233" t="s">
        <v>349</v>
      </c>
      <c r="B233" t="s">
        <v>69</v>
      </c>
      <c r="C233" t="s">
        <v>13</v>
      </c>
      <c r="D233" s="7">
        <v>2025</v>
      </c>
      <c r="E233" s="7" t="s">
        <v>42</v>
      </c>
      <c r="F233" t="s">
        <v>43</v>
      </c>
      <c r="G233" t="s">
        <v>12</v>
      </c>
      <c r="H233" s="5">
        <v>2</v>
      </c>
      <c r="I233" s="5">
        <v>2</v>
      </c>
      <c r="J233" s="8">
        <v>635000</v>
      </c>
      <c r="K233" s="8">
        <v>615000</v>
      </c>
      <c r="L233" s="8">
        <v>580000</v>
      </c>
    </row>
    <row r="234" spans="1:12">
      <c r="A234" t="s">
        <v>350</v>
      </c>
      <c r="B234" t="s">
        <v>69</v>
      </c>
      <c r="C234" t="s">
        <v>13</v>
      </c>
      <c r="D234" s="7">
        <v>2025</v>
      </c>
      <c r="E234" s="7" t="s">
        <v>42</v>
      </c>
      <c r="F234" t="s">
        <v>43</v>
      </c>
      <c r="G234" t="s">
        <v>12</v>
      </c>
      <c r="H234" s="5">
        <v>3</v>
      </c>
      <c r="I234" s="5">
        <v>3</v>
      </c>
      <c r="J234" s="8">
        <v>625000</v>
      </c>
      <c r="K234" s="8">
        <v>610000</v>
      </c>
      <c r="L234" s="8">
        <v>580000</v>
      </c>
    </row>
    <row r="235" spans="1:12">
      <c r="A235" t="s">
        <v>351</v>
      </c>
      <c r="B235" t="s">
        <v>69</v>
      </c>
      <c r="C235" t="s">
        <v>13</v>
      </c>
      <c r="D235" s="7">
        <v>2025</v>
      </c>
      <c r="E235" s="7" t="s">
        <v>42</v>
      </c>
      <c r="F235" t="s">
        <v>43</v>
      </c>
      <c r="G235" t="s">
        <v>12</v>
      </c>
      <c r="H235" s="5">
        <v>4</v>
      </c>
      <c r="I235" s="5">
        <v>4</v>
      </c>
      <c r="J235" s="8">
        <v>625000</v>
      </c>
      <c r="K235" s="8">
        <v>610000</v>
      </c>
      <c r="L235" s="8">
        <v>580000</v>
      </c>
    </row>
    <row r="236" spans="1:12">
      <c r="A236" t="s">
        <v>352</v>
      </c>
      <c r="B236" t="s">
        <v>69</v>
      </c>
      <c r="C236" t="s">
        <v>13</v>
      </c>
      <c r="D236" s="7">
        <v>2025</v>
      </c>
      <c r="E236" s="7" t="s">
        <v>42</v>
      </c>
      <c r="F236" t="s">
        <v>43</v>
      </c>
      <c r="G236" t="s">
        <v>12</v>
      </c>
      <c r="H236" s="5">
        <v>5</v>
      </c>
      <c r="I236" s="5">
        <v>5</v>
      </c>
      <c r="J236" s="8">
        <v>625000</v>
      </c>
      <c r="K236" s="8">
        <v>605000</v>
      </c>
      <c r="L236" s="8">
        <v>580000</v>
      </c>
    </row>
    <row r="237" spans="1:12">
      <c r="A237" t="s">
        <v>353</v>
      </c>
      <c r="B237" t="s">
        <v>69</v>
      </c>
      <c r="C237" t="s">
        <v>13</v>
      </c>
      <c r="D237" s="7">
        <v>2025</v>
      </c>
      <c r="E237" s="7" t="s">
        <v>42</v>
      </c>
      <c r="F237" t="s">
        <v>43</v>
      </c>
      <c r="G237" t="s">
        <v>12</v>
      </c>
      <c r="H237" s="5">
        <v>6</v>
      </c>
      <c r="I237" s="5">
        <v>7</v>
      </c>
      <c r="J237" s="8">
        <v>625000</v>
      </c>
      <c r="K237" s="8">
        <v>610000</v>
      </c>
      <c r="L237" s="8">
        <v>580000</v>
      </c>
    </row>
    <row r="238" spans="1:12">
      <c r="A238" t="s">
        <v>354</v>
      </c>
      <c r="B238" t="s">
        <v>69</v>
      </c>
      <c r="C238" t="s">
        <v>13</v>
      </c>
      <c r="D238" s="7">
        <v>2025</v>
      </c>
      <c r="E238" s="7" t="s">
        <v>42</v>
      </c>
      <c r="F238" t="s">
        <v>43</v>
      </c>
      <c r="G238" t="s">
        <v>12</v>
      </c>
      <c r="H238" s="5">
        <v>7</v>
      </c>
      <c r="I238" s="5">
        <v>8</v>
      </c>
      <c r="J238" s="8">
        <v>625000</v>
      </c>
      <c r="K238" s="8">
        <v>615000</v>
      </c>
      <c r="L238" s="8">
        <v>580000</v>
      </c>
    </row>
    <row r="239" spans="1:12">
      <c r="A239" t="s">
        <v>355</v>
      </c>
      <c r="B239" t="s">
        <v>69</v>
      </c>
      <c r="C239" t="s">
        <v>13</v>
      </c>
      <c r="D239" s="7">
        <v>2025</v>
      </c>
      <c r="E239" s="7" t="s">
        <v>42</v>
      </c>
      <c r="F239" t="s">
        <v>43</v>
      </c>
      <c r="G239" t="s">
        <v>12</v>
      </c>
      <c r="H239" s="5">
        <v>8</v>
      </c>
      <c r="I239" s="5">
        <v>9</v>
      </c>
      <c r="J239" s="8">
        <v>615000</v>
      </c>
      <c r="K239" s="8">
        <v>600000</v>
      </c>
      <c r="L239" s="8">
        <v>580000</v>
      </c>
    </row>
    <row r="240" spans="1:12">
      <c r="A240" t="s">
        <v>356</v>
      </c>
      <c r="B240" t="s">
        <v>69</v>
      </c>
      <c r="C240" t="s">
        <v>13</v>
      </c>
      <c r="D240" s="7">
        <v>2025</v>
      </c>
      <c r="E240" s="7" t="s">
        <v>42</v>
      </c>
      <c r="F240" t="s">
        <v>43</v>
      </c>
      <c r="G240" t="s">
        <v>12</v>
      </c>
      <c r="H240" s="5">
        <v>9</v>
      </c>
      <c r="I240" s="5">
        <v>10</v>
      </c>
      <c r="J240" s="8">
        <v>640000</v>
      </c>
      <c r="K240" s="8">
        <v>615000</v>
      </c>
      <c r="L240" s="8">
        <v>580000</v>
      </c>
    </row>
    <row r="241" spans="1:12">
      <c r="A241" t="s">
        <v>357</v>
      </c>
      <c r="B241" t="s">
        <v>69</v>
      </c>
      <c r="C241" t="s">
        <v>13</v>
      </c>
      <c r="D241" s="7">
        <v>2025</v>
      </c>
      <c r="E241" s="7" t="s">
        <v>42</v>
      </c>
      <c r="F241" t="s">
        <v>43</v>
      </c>
      <c r="G241" t="s">
        <v>12</v>
      </c>
      <c r="H241" s="5">
        <v>10</v>
      </c>
      <c r="I241" s="5">
        <v>11</v>
      </c>
      <c r="J241" s="8">
        <v>625000</v>
      </c>
      <c r="K241" s="8">
        <v>615000</v>
      </c>
      <c r="L241" s="8">
        <v>580000</v>
      </c>
    </row>
    <row r="242" spans="1:12">
      <c r="A242" t="s">
        <v>358</v>
      </c>
      <c r="B242" t="s">
        <v>70</v>
      </c>
      <c r="C242" t="s">
        <v>13</v>
      </c>
      <c r="D242" s="7">
        <v>2025</v>
      </c>
      <c r="E242" s="7" t="s">
        <v>45</v>
      </c>
      <c r="F242" t="s">
        <v>46</v>
      </c>
      <c r="G242" t="s">
        <v>12</v>
      </c>
      <c r="H242" s="5">
        <v>1</v>
      </c>
      <c r="I242" s="5">
        <v>1</v>
      </c>
      <c r="J242" s="8">
        <v>805000</v>
      </c>
      <c r="K242" s="8">
        <v>805000</v>
      </c>
      <c r="L242" s="8">
        <v>815000</v>
      </c>
    </row>
    <row r="243" spans="1:12">
      <c r="A243" t="s">
        <v>359</v>
      </c>
      <c r="B243" t="s">
        <v>70</v>
      </c>
      <c r="C243" t="s">
        <v>13</v>
      </c>
      <c r="D243" s="7">
        <v>2025</v>
      </c>
      <c r="E243" s="7" t="s">
        <v>45</v>
      </c>
      <c r="F243" t="s">
        <v>46</v>
      </c>
      <c r="G243" t="s">
        <v>12</v>
      </c>
      <c r="H243" s="5">
        <v>2</v>
      </c>
      <c r="I243" s="5">
        <v>2</v>
      </c>
      <c r="J243" s="8">
        <v>805000</v>
      </c>
      <c r="K243" s="8">
        <v>800000</v>
      </c>
      <c r="L243" s="8">
        <v>815000</v>
      </c>
    </row>
    <row r="244" spans="1:12">
      <c r="A244" t="s">
        <v>360</v>
      </c>
      <c r="B244" t="s">
        <v>70</v>
      </c>
      <c r="C244" t="s">
        <v>13</v>
      </c>
      <c r="D244" s="7">
        <v>2025</v>
      </c>
      <c r="E244" s="7" t="s">
        <v>45</v>
      </c>
      <c r="F244" t="s">
        <v>46</v>
      </c>
      <c r="G244" t="s">
        <v>12</v>
      </c>
      <c r="H244" s="5">
        <v>3</v>
      </c>
      <c r="I244" s="5">
        <v>3</v>
      </c>
      <c r="J244" s="8">
        <v>790000</v>
      </c>
      <c r="K244" s="8">
        <v>805000</v>
      </c>
      <c r="L244" s="8">
        <v>815000</v>
      </c>
    </row>
    <row r="245" spans="1:12">
      <c r="A245" t="s">
        <v>361</v>
      </c>
      <c r="B245" t="s">
        <v>70</v>
      </c>
      <c r="C245" t="s">
        <v>13</v>
      </c>
      <c r="D245" s="7">
        <v>2025</v>
      </c>
      <c r="E245" s="7" t="s">
        <v>45</v>
      </c>
      <c r="F245" t="s">
        <v>46</v>
      </c>
      <c r="G245" t="s">
        <v>12</v>
      </c>
      <c r="H245" s="5">
        <v>4</v>
      </c>
      <c r="I245" s="5">
        <v>4</v>
      </c>
      <c r="J245" s="8">
        <v>820000</v>
      </c>
      <c r="K245" s="8">
        <v>810000</v>
      </c>
      <c r="L245" s="8">
        <v>815000</v>
      </c>
    </row>
    <row r="246" spans="1:12">
      <c r="A246" t="s">
        <v>362</v>
      </c>
      <c r="B246" t="s">
        <v>70</v>
      </c>
      <c r="C246" t="s">
        <v>13</v>
      </c>
      <c r="D246" s="7">
        <v>2025</v>
      </c>
      <c r="E246" s="7" t="s">
        <v>45</v>
      </c>
      <c r="F246" t="s">
        <v>46</v>
      </c>
      <c r="G246" t="s">
        <v>12</v>
      </c>
      <c r="H246" s="5">
        <v>5</v>
      </c>
      <c r="I246" s="5">
        <v>6</v>
      </c>
      <c r="J246" s="8">
        <v>810000</v>
      </c>
      <c r="K246" s="8">
        <v>800000</v>
      </c>
      <c r="L246" s="8">
        <v>815000</v>
      </c>
    </row>
    <row r="247" spans="1:12">
      <c r="A247" t="s">
        <v>363</v>
      </c>
      <c r="B247" t="s">
        <v>70</v>
      </c>
      <c r="C247" t="s">
        <v>13</v>
      </c>
      <c r="D247" s="7">
        <v>2025</v>
      </c>
      <c r="E247" s="7" t="s">
        <v>45</v>
      </c>
      <c r="F247" t="s">
        <v>46</v>
      </c>
      <c r="G247" t="s">
        <v>12</v>
      </c>
      <c r="H247" s="5">
        <v>6</v>
      </c>
      <c r="I247" s="5">
        <v>7</v>
      </c>
      <c r="J247" s="8">
        <v>805000</v>
      </c>
      <c r="K247" s="8">
        <v>800000</v>
      </c>
      <c r="L247" s="8">
        <v>815000</v>
      </c>
    </row>
    <row r="248" spans="1:12">
      <c r="A248" t="s">
        <v>364</v>
      </c>
      <c r="B248" t="s">
        <v>70</v>
      </c>
      <c r="C248" t="s">
        <v>13</v>
      </c>
      <c r="D248" s="7">
        <v>2025</v>
      </c>
      <c r="E248" s="7" t="s">
        <v>45</v>
      </c>
      <c r="F248" t="s">
        <v>46</v>
      </c>
      <c r="G248" t="s">
        <v>12</v>
      </c>
      <c r="H248" s="5">
        <v>7</v>
      </c>
      <c r="I248" s="5">
        <v>8</v>
      </c>
      <c r="J248" s="8">
        <v>795000</v>
      </c>
      <c r="K248" s="8">
        <v>795000</v>
      </c>
      <c r="L248" s="8">
        <v>815000</v>
      </c>
    </row>
    <row r="249" spans="1:12">
      <c r="A249" t="s">
        <v>365</v>
      </c>
      <c r="B249" t="s">
        <v>70</v>
      </c>
      <c r="C249" t="s">
        <v>13</v>
      </c>
      <c r="D249" s="7">
        <v>2025</v>
      </c>
      <c r="E249" s="7" t="s">
        <v>45</v>
      </c>
      <c r="F249" t="s">
        <v>46</v>
      </c>
      <c r="G249" t="s">
        <v>12</v>
      </c>
      <c r="H249" s="5">
        <v>8</v>
      </c>
      <c r="I249" s="5">
        <v>10</v>
      </c>
      <c r="J249" s="8">
        <v>800000</v>
      </c>
      <c r="K249" s="8">
        <v>805000</v>
      </c>
      <c r="L249" s="8">
        <v>815000</v>
      </c>
    </row>
    <row r="250" spans="1:12">
      <c r="A250" t="s">
        <v>366</v>
      </c>
      <c r="B250" t="s">
        <v>70</v>
      </c>
      <c r="C250" t="s">
        <v>13</v>
      </c>
      <c r="D250" s="7">
        <v>2025</v>
      </c>
      <c r="E250" s="7" t="s">
        <v>45</v>
      </c>
      <c r="F250" t="s">
        <v>46</v>
      </c>
      <c r="G250" t="s">
        <v>12</v>
      </c>
      <c r="H250" s="5">
        <v>9</v>
      </c>
      <c r="I250" s="5">
        <v>11</v>
      </c>
      <c r="J250" s="8">
        <v>800000</v>
      </c>
      <c r="K250" s="8">
        <v>805000</v>
      </c>
      <c r="L250" s="8">
        <v>815000</v>
      </c>
    </row>
    <row r="251" spans="1:12">
      <c r="A251" t="s">
        <v>367</v>
      </c>
      <c r="B251" t="s">
        <v>70</v>
      </c>
      <c r="C251" t="s">
        <v>13</v>
      </c>
      <c r="D251" s="7">
        <v>2025</v>
      </c>
      <c r="E251" s="7" t="s">
        <v>45</v>
      </c>
      <c r="F251" t="s">
        <v>46</v>
      </c>
      <c r="G251" t="s">
        <v>12</v>
      </c>
      <c r="H251" s="5">
        <v>10</v>
      </c>
      <c r="I251" s="5">
        <v>12</v>
      </c>
      <c r="J251" s="8">
        <v>805000</v>
      </c>
      <c r="K251" s="8">
        <v>805000</v>
      </c>
      <c r="L251" s="8">
        <v>815000</v>
      </c>
    </row>
    <row r="252" spans="1:12">
      <c r="A252" t="s">
        <v>368</v>
      </c>
      <c r="B252" t="s">
        <v>71</v>
      </c>
      <c r="C252" t="s">
        <v>13</v>
      </c>
      <c r="D252" s="7">
        <v>2025</v>
      </c>
      <c r="E252" s="7" t="s">
        <v>48</v>
      </c>
      <c r="F252" t="s">
        <v>49</v>
      </c>
      <c r="G252" t="s">
        <v>12</v>
      </c>
      <c r="H252" s="5">
        <v>1</v>
      </c>
      <c r="I252" s="5">
        <v>1</v>
      </c>
      <c r="J252" s="8">
        <v>885000</v>
      </c>
      <c r="K252" s="8">
        <v>860000</v>
      </c>
      <c r="L252" s="8">
        <v>845000</v>
      </c>
    </row>
    <row r="253" spans="1:12">
      <c r="A253" t="s">
        <v>369</v>
      </c>
      <c r="B253" t="s">
        <v>71</v>
      </c>
      <c r="C253" t="s">
        <v>13</v>
      </c>
      <c r="D253" s="7">
        <v>2025</v>
      </c>
      <c r="E253" s="7" t="s">
        <v>48</v>
      </c>
      <c r="F253" t="s">
        <v>49</v>
      </c>
      <c r="G253" t="s">
        <v>12</v>
      </c>
      <c r="H253" s="5">
        <v>2</v>
      </c>
      <c r="I253" s="5">
        <v>2</v>
      </c>
      <c r="J253" s="8">
        <v>885000</v>
      </c>
      <c r="K253" s="8">
        <v>860000</v>
      </c>
      <c r="L253" s="8">
        <v>845000</v>
      </c>
    </row>
    <row r="254" spans="1:12">
      <c r="A254" t="s">
        <v>370</v>
      </c>
      <c r="B254" t="s">
        <v>71</v>
      </c>
      <c r="C254" t="s">
        <v>13</v>
      </c>
      <c r="D254" s="7">
        <v>2025</v>
      </c>
      <c r="E254" s="7" t="s">
        <v>48</v>
      </c>
      <c r="F254" t="s">
        <v>49</v>
      </c>
      <c r="G254" t="s">
        <v>12</v>
      </c>
      <c r="H254" s="5">
        <v>3</v>
      </c>
      <c r="I254" s="5">
        <v>4</v>
      </c>
      <c r="J254" s="8">
        <v>850000</v>
      </c>
      <c r="K254" s="8">
        <v>860000</v>
      </c>
      <c r="L254" s="8">
        <v>845000</v>
      </c>
    </row>
    <row r="255" spans="1:12">
      <c r="A255" t="s">
        <v>371</v>
      </c>
      <c r="B255" t="s">
        <v>71</v>
      </c>
      <c r="C255" t="s">
        <v>13</v>
      </c>
      <c r="D255" s="7">
        <v>2025</v>
      </c>
      <c r="E255" s="7" t="s">
        <v>48</v>
      </c>
      <c r="F255" t="s">
        <v>49</v>
      </c>
      <c r="G255" t="s">
        <v>12</v>
      </c>
      <c r="H255" s="5">
        <v>4</v>
      </c>
      <c r="I255" s="5">
        <v>5</v>
      </c>
      <c r="J255" s="8">
        <v>885000</v>
      </c>
      <c r="K255" s="8">
        <v>870000</v>
      </c>
      <c r="L255" s="8">
        <v>845000</v>
      </c>
    </row>
    <row r="256" spans="1:12">
      <c r="A256" t="s">
        <v>372</v>
      </c>
      <c r="B256" t="s">
        <v>71</v>
      </c>
      <c r="C256" t="s">
        <v>13</v>
      </c>
      <c r="D256" s="7">
        <v>2025</v>
      </c>
      <c r="E256" s="7" t="s">
        <v>48</v>
      </c>
      <c r="F256" t="s">
        <v>49</v>
      </c>
      <c r="G256" t="s">
        <v>12</v>
      </c>
      <c r="H256" s="5">
        <v>5</v>
      </c>
      <c r="I256" s="5">
        <v>6</v>
      </c>
      <c r="J256" s="8">
        <v>890000</v>
      </c>
      <c r="K256" s="8">
        <v>865000</v>
      </c>
      <c r="L256" s="8">
        <v>845000</v>
      </c>
    </row>
    <row r="257" spans="1:12">
      <c r="A257" t="s">
        <v>373</v>
      </c>
      <c r="B257" t="s">
        <v>71</v>
      </c>
      <c r="C257" t="s">
        <v>13</v>
      </c>
      <c r="D257" s="7">
        <v>2025</v>
      </c>
      <c r="E257" s="7" t="s">
        <v>48</v>
      </c>
      <c r="F257" t="s">
        <v>49</v>
      </c>
      <c r="G257" t="s">
        <v>12</v>
      </c>
      <c r="H257" s="5">
        <v>6</v>
      </c>
      <c r="I257" s="5">
        <v>7</v>
      </c>
      <c r="J257" s="8">
        <v>855000</v>
      </c>
      <c r="K257" s="8">
        <v>860000</v>
      </c>
      <c r="L257" s="8">
        <v>845000</v>
      </c>
    </row>
    <row r="258" spans="1:12">
      <c r="A258" t="s">
        <v>374</v>
      </c>
      <c r="B258" t="s">
        <v>71</v>
      </c>
      <c r="C258" t="s">
        <v>13</v>
      </c>
      <c r="D258" s="7">
        <v>2025</v>
      </c>
      <c r="E258" s="7" t="s">
        <v>48</v>
      </c>
      <c r="F258" t="s">
        <v>49</v>
      </c>
      <c r="G258" t="s">
        <v>12</v>
      </c>
      <c r="H258" s="5">
        <v>7</v>
      </c>
      <c r="I258" s="5">
        <v>8</v>
      </c>
      <c r="J258" s="8">
        <v>855000</v>
      </c>
      <c r="K258" s="8">
        <v>850000</v>
      </c>
      <c r="L258" s="8">
        <v>845000</v>
      </c>
    </row>
    <row r="259" spans="1:12">
      <c r="A259" t="s">
        <v>375</v>
      </c>
      <c r="B259" t="s">
        <v>71</v>
      </c>
      <c r="C259" t="s">
        <v>13</v>
      </c>
      <c r="D259" s="7">
        <v>2025</v>
      </c>
      <c r="E259" s="7" t="s">
        <v>48</v>
      </c>
      <c r="F259" t="s">
        <v>49</v>
      </c>
      <c r="G259" t="s">
        <v>12</v>
      </c>
      <c r="H259" s="5">
        <v>8</v>
      </c>
      <c r="I259" s="5">
        <v>9</v>
      </c>
      <c r="J259" s="8">
        <v>860000</v>
      </c>
      <c r="K259" s="8">
        <v>860000</v>
      </c>
      <c r="L259" s="8">
        <v>845000</v>
      </c>
    </row>
    <row r="260" spans="1:12">
      <c r="A260" t="s">
        <v>376</v>
      </c>
      <c r="B260" t="s">
        <v>71</v>
      </c>
      <c r="C260" t="s">
        <v>13</v>
      </c>
      <c r="D260" s="7">
        <v>2025</v>
      </c>
      <c r="E260" s="7" t="s">
        <v>48</v>
      </c>
      <c r="F260" t="s">
        <v>49</v>
      </c>
      <c r="G260" t="s">
        <v>12</v>
      </c>
      <c r="H260" s="5">
        <v>9</v>
      </c>
      <c r="I260" s="5">
        <v>11</v>
      </c>
      <c r="J260" s="8">
        <v>870000</v>
      </c>
      <c r="K260" s="8">
        <v>860000</v>
      </c>
      <c r="L260" s="8">
        <v>845000</v>
      </c>
    </row>
    <row r="261" spans="1:12">
      <c r="A261" t="s">
        <v>377</v>
      </c>
      <c r="B261" t="s">
        <v>71</v>
      </c>
      <c r="C261" t="s">
        <v>13</v>
      </c>
      <c r="D261" s="7">
        <v>2025</v>
      </c>
      <c r="E261" s="7" t="s">
        <v>48</v>
      </c>
      <c r="F261" t="s">
        <v>49</v>
      </c>
      <c r="G261" t="s">
        <v>12</v>
      </c>
      <c r="H261" s="5">
        <v>10</v>
      </c>
      <c r="I261" s="5">
        <v>12</v>
      </c>
      <c r="J261" s="8">
        <v>855000</v>
      </c>
      <c r="K261" s="8">
        <v>860000</v>
      </c>
      <c r="L261" s="8">
        <v>845000</v>
      </c>
    </row>
    <row r="262" spans="1:12">
      <c r="A262" t="s">
        <v>378</v>
      </c>
      <c r="B262" t="s">
        <v>72</v>
      </c>
      <c r="C262" t="s">
        <v>13</v>
      </c>
      <c r="D262" s="7">
        <v>2025</v>
      </c>
      <c r="E262" s="7" t="s">
        <v>51</v>
      </c>
      <c r="F262" t="s">
        <v>52</v>
      </c>
      <c r="G262" t="s">
        <v>12</v>
      </c>
      <c r="H262" s="5">
        <v>1</v>
      </c>
      <c r="I262" s="5">
        <v>1</v>
      </c>
      <c r="J262" s="8">
        <v>710000</v>
      </c>
      <c r="K262" s="8">
        <v>650000</v>
      </c>
      <c r="L262" s="8">
        <v>610000</v>
      </c>
    </row>
    <row r="263" spans="1:12">
      <c r="A263" t="s">
        <v>379</v>
      </c>
      <c r="B263" t="s">
        <v>72</v>
      </c>
      <c r="C263" t="s">
        <v>13</v>
      </c>
      <c r="D263" s="7">
        <v>2025</v>
      </c>
      <c r="E263" s="7" t="s">
        <v>51</v>
      </c>
      <c r="F263" t="s">
        <v>52</v>
      </c>
      <c r="G263" t="s">
        <v>12</v>
      </c>
      <c r="H263" s="5">
        <v>2</v>
      </c>
      <c r="I263" s="5">
        <v>2</v>
      </c>
      <c r="J263" s="8">
        <v>665000</v>
      </c>
      <c r="K263" s="8">
        <v>645000</v>
      </c>
      <c r="L263" s="8">
        <v>610000</v>
      </c>
    </row>
    <row r="264" spans="1:12">
      <c r="A264" t="s">
        <v>380</v>
      </c>
      <c r="B264" t="s">
        <v>72</v>
      </c>
      <c r="C264" t="s">
        <v>13</v>
      </c>
      <c r="D264" s="7">
        <v>2025</v>
      </c>
      <c r="E264" s="7" t="s">
        <v>51</v>
      </c>
      <c r="F264" t="s">
        <v>52</v>
      </c>
      <c r="G264" t="s">
        <v>12</v>
      </c>
      <c r="H264" s="5">
        <v>3</v>
      </c>
      <c r="I264" s="5">
        <v>3</v>
      </c>
      <c r="J264" s="8">
        <v>660000</v>
      </c>
      <c r="K264" s="8">
        <v>650000</v>
      </c>
      <c r="L264" s="8">
        <v>610000</v>
      </c>
    </row>
    <row r="265" spans="1:12">
      <c r="A265" t="s">
        <v>381</v>
      </c>
      <c r="B265" t="s">
        <v>72</v>
      </c>
      <c r="C265" t="s">
        <v>13</v>
      </c>
      <c r="D265" s="7">
        <v>2025</v>
      </c>
      <c r="E265" s="7" t="s">
        <v>51</v>
      </c>
      <c r="F265" t="s">
        <v>52</v>
      </c>
      <c r="G265" t="s">
        <v>12</v>
      </c>
      <c r="H265" s="5">
        <v>4</v>
      </c>
      <c r="I265" s="5">
        <v>4</v>
      </c>
      <c r="J265" s="8">
        <v>675000</v>
      </c>
      <c r="K265" s="8">
        <v>655000</v>
      </c>
      <c r="L265" s="8">
        <v>610000</v>
      </c>
    </row>
    <row r="266" spans="1:12">
      <c r="A266" t="s">
        <v>382</v>
      </c>
      <c r="B266" t="s">
        <v>72</v>
      </c>
      <c r="C266" t="s">
        <v>13</v>
      </c>
      <c r="D266" s="7">
        <v>2025</v>
      </c>
      <c r="E266" s="7" t="s">
        <v>51</v>
      </c>
      <c r="F266" t="s">
        <v>52</v>
      </c>
      <c r="G266" t="s">
        <v>12</v>
      </c>
      <c r="H266" s="5">
        <v>5</v>
      </c>
      <c r="I266" s="5">
        <v>5</v>
      </c>
      <c r="J266" s="8">
        <v>690000</v>
      </c>
      <c r="K266" s="8">
        <v>650000</v>
      </c>
      <c r="L266" s="8">
        <v>610000</v>
      </c>
    </row>
    <row r="267" spans="1:12">
      <c r="A267" t="s">
        <v>383</v>
      </c>
      <c r="B267" t="s">
        <v>72</v>
      </c>
      <c r="C267" t="s">
        <v>13</v>
      </c>
      <c r="D267" s="7">
        <v>2025</v>
      </c>
      <c r="E267" s="7" t="s">
        <v>51</v>
      </c>
      <c r="F267" t="s">
        <v>52</v>
      </c>
      <c r="G267" t="s">
        <v>12</v>
      </c>
      <c r="H267" s="5">
        <v>6</v>
      </c>
      <c r="I267" s="5">
        <v>6</v>
      </c>
      <c r="J267" s="8">
        <v>710000</v>
      </c>
      <c r="K267" s="8">
        <v>650000</v>
      </c>
      <c r="L267" s="8">
        <v>610000</v>
      </c>
    </row>
    <row r="268" spans="1:12">
      <c r="A268" t="s">
        <v>384</v>
      </c>
      <c r="B268" t="s">
        <v>72</v>
      </c>
      <c r="C268" t="s">
        <v>13</v>
      </c>
      <c r="D268" s="7">
        <v>2025</v>
      </c>
      <c r="E268" s="7" t="s">
        <v>51</v>
      </c>
      <c r="F268" t="s">
        <v>52</v>
      </c>
      <c r="G268" t="s">
        <v>12</v>
      </c>
      <c r="H268" s="5">
        <v>7</v>
      </c>
      <c r="I268" s="5">
        <v>7</v>
      </c>
      <c r="J268" s="8">
        <v>660000</v>
      </c>
      <c r="K268" s="8">
        <v>650000</v>
      </c>
      <c r="L268" s="8">
        <v>610000</v>
      </c>
    </row>
    <row r="269" spans="1:12">
      <c r="A269" t="s">
        <v>385</v>
      </c>
      <c r="B269" t="s">
        <v>72</v>
      </c>
      <c r="C269" t="s">
        <v>13</v>
      </c>
      <c r="D269" s="7">
        <v>2025</v>
      </c>
      <c r="E269" s="7" t="s">
        <v>51</v>
      </c>
      <c r="F269" t="s">
        <v>52</v>
      </c>
      <c r="G269" t="s">
        <v>12</v>
      </c>
      <c r="H269" s="5">
        <v>8</v>
      </c>
      <c r="I269" s="5">
        <v>8</v>
      </c>
      <c r="J269" s="8">
        <v>700000</v>
      </c>
      <c r="K269" s="8">
        <v>650000</v>
      </c>
      <c r="L269" s="8">
        <v>610000</v>
      </c>
    </row>
    <row r="270" spans="1:12">
      <c r="A270" t="s">
        <v>386</v>
      </c>
      <c r="B270" t="s">
        <v>72</v>
      </c>
      <c r="C270" t="s">
        <v>13</v>
      </c>
      <c r="D270" s="7">
        <v>2025</v>
      </c>
      <c r="E270" s="7" t="s">
        <v>51</v>
      </c>
      <c r="F270" t="s">
        <v>52</v>
      </c>
      <c r="G270" t="s">
        <v>12</v>
      </c>
      <c r="H270" s="5">
        <v>9</v>
      </c>
      <c r="I270" s="5">
        <v>9</v>
      </c>
      <c r="J270" s="8">
        <v>685000</v>
      </c>
      <c r="K270" s="8">
        <v>645000</v>
      </c>
      <c r="L270" s="8">
        <v>610000</v>
      </c>
    </row>
    <row r="271" spans="1:12">
      <c r="A271" t="s">
        <v>387</v>
      </c>
      <c r="B271" t="s">
        <v>72</v>
      </c>
      <c r="C271" t="s">
        <v>13</v>
      </c>
      <c r="D271" s="7">
        <v>2025</v>
      </c>
      <c r="E271" s="7" t="s">
        <v>51</v>
      </c>
      <c r="F271" t="s">
        <v>52</v>
      </c>
      <c r="G271" t="s">
        <v>12</v>
      </c>
      <c r="H271" s="5">
        <v>10</v>
      </c>
      <c r="I271" s="5">
        <v>10</v>
      </c>
      <c r="J271" s="8">
        <v>675000</v>
      </c>
      <c r="K271" s="8">
        <v>650000</v>
      </c>
      <c r="L271" s="8">
        <v>610000</v>
      </c>
    </row>
    <row r="272" spans="1:12">
      <c r="A272" t="s">
        <v>388</v>
      </c>
      <c r="B272" t="s">
        <v>73</v>
      </c>
      <c r="C272" t="s">
        <v>14</v>
      </c>
      <c r="D272" s="7">
        <v>2026</v>
      </c>
      <c r="E272" s="7" t="s">
        <v>64</v>
      </c>
      <c r="F272" t="s">
        <v>65</v>
      </c>
      <c r="G272" t="s">
        <v>11</v>
      </c>
      <c r="H272" s="5">
        <v>1</v>
      </c>
      <c r="I272" s="5">
        <v>1</v>
      </c>
      <c r="J272" s="8">
        <v>650000</v>
      </c>
      <c r="K272" s="8">
        <v>640000</v>
      </c>
      <c r="L272" s="8">
        <v>650000</v>
      </c>
    </row>
    <row r="273" spans="1:12">
      <c r="A273" t="s">
        <v>389</v>
      </c>
      <c r="B273" t="s">
        <v>73</v>
      </c>
      <c r="C273" t="s">
        <v>14</v>
      </c>
      <c r="D273" s="7">
        <v>2026</v>
      </c>
      <c r="E273" s="7" t="s">
        <v>64</v>
      </c>
      <c r="F273" t="s">
        <v>65</v>
      </c>
      <c r="G273" t="s">
        <v>11</v>
      </c>
      <c r="H273" s="5">
        <v>2</v>
      </c>
      <c r="I273" s="5">
        <v>17</v>
      </c>
      <c r="J273" s="8">
        <v>650000</v>
      </c>
      <c r="K273" s="8">
        <v>640000</v>
      </c>
      <c r="L273" s="8">
        <v>650000</v>
      </c>
    </row>
    <row r="274" spans="1:12">
      <c r="A274" t="s">
        <v>390</v>
      </c>
      <c r="B274" t="s">
        <v>73</v>
      </c>
      <c r="C274" t="s">
        <v>14</v>
      </c>
      <c r="D274" s="7">
        <v>2026</v>
      </c>
      <c r="E274" s="7" t="s">
        <v>64</v>
      </c>
      <c r="F274" t="s">
        <v>65</v>
      </c>
      <c r="G274" t="s">
        <v>11</v>
      </c>
      <c r="H274" s="5">
        <v>3</v>
      </c>
      <c r="I274" s="5">
        <v>3</v>
      </c>
      <c r="J274" s="8">
        <v>645000</v>
      </c>
      <c r="K274" s="8">
        <v>650000</v>
      </c>
      <c r="L274" s="8">
        <v>650000</v>
      </c>
    </row>
    <row r="275" spans="1:12">
      <c r="A275" t="s">
        <v>391</v>
      </c>
      <c r="B275" t="s">
        <v>73</v>
      </c>
      <c r="C275" t="s">
        <v>14</v>
      </c>
      <c r="D275" s="7">
        <v>2026</v>
      </c>
      <c r="E275" s="7" t="s">
        <v>64</v>
      </c>
      <c r="F275" t="s">
        <v>65</v>
      </c>
      <c r="G275" t="s">
        <v>11</v>
      </c>
      <c r="H275" s="5">
        <v>4</v>
      </c>
      <c r="I275" s="5">
        <v>12</v>
      </c>
      <c r="J275" s="8">
        <v>665000</v>
      </c>
      <c r="K275" s="8">
        <v>655000</v>
      </c>
      <c r="L275" s="8">
        <v>650000</v>
      </c>
    </row>
    <row r="276" spans="1:12">
      <c r="A276" t="s">
        <v>392</v>
      </c>
      <c r="B276" t="s">
        <v>73</v>
      </c>
      <c r="C276" t="s">
        <v>14</v>
      </c>
      <c r="D276" s="7">
        <v>2026</v>
      </c>
      <c r="E276" s="7" t="s">
        <v>64</v>
      </c>
      <c r="F276" t="s">
        <v>65</v>
      </c>
      <c r="G276" t="s">
        <v>11</v>
      </c>
      <c r="H276" s="5">
        <v>5</v>
      </c>
      <c r="I276" s="5">
        <v>5</v>
      </c>
      <c r="J276" s="8">
        <v>645000</v>
      </c>
      <c r="K276" s="8">
        <v>640000</v>
      </c>
      <c r="L276" s="8">
        <v>650000</v>
      </c>
    </row>
    <row r="277" spans="1:12">
      <c r="A277" t="s">
        <v>393</v>
      </c>
      <c r="B277" t="s">
        <v>73</v>
      </c>
      <c r="C277" t="s">
        <v>14</v>
      </c>
      <c r="D277" s="7">
        <v>2026</v>
      </c>
      <c r="E277" s="7" t="s">
        <v>64</v>
      </c>
      <c r="F277" t="s">
        <v>65</v>
      </c>
      <c r="G277" t="s">
        <v>11</v>
      </c>
      <c r="H277" s="5">
        <v>6</v>
      </c>
      <c r="I277" s="5">
        <v>6</v>
      </c>
      <c r="J277" s="8">
        <v>665000</v>
      </c>
      <c r="K277" s="8">
        <v>655000</v>
      </c>
      <c r="L277" s="8">
        <v>650000</v>
      </c>
    </row>
    <row r="278" spans="1:12">
      <c r="A278" t="s">
        <v>394</v>
      </c>
      <c r="B278" t="s">
        <v>73</v>
      </c>
      <c r="C278" t="s">
        <v>14</v>
      </c>
      <c r="D278" s="7">
        <v>2026</v>
      </c>
      <c r="E278" s="7" t="s">
        <v>64</v>
      </c>
      <c r="F278" t="s">
        <v>65</v>
      </c>
      <c r="G278" t="s">
        <v>11</v>
      </c>
      <c r="H278" s="5">
        <v>7</v>
      </c>
      <c r="I278" s="5">
        <v>13</v>
      </c>
      <c r="J278" s="8">
        <v>665000</v>
      </c>
      <c r="K278" s="8">
        <v>660000</v>
      </c>
      <c r="L278" s="8">
        <v>650000</v>
      </c>
    </row>
    <row r="279" spans="1:12">
      <c r="A279" t="s">
        <v>395</v>
      </c>
      <c r="B279" t="s">
        <v>73</v>
      </c>
      <c r="C279" t="s">
        <v>14</v>
      </c>
      <c r="D279" s="7">
        <v>2026</v>
      </c>
      <c r="E279" s="7" t="s">
        <v>64</v>
      </c>
      <c r="F279" t="s">
        <v>65</v>
      </c>
      <c r="G279" t="s">
        <v>11</v>
      </c>
      <c r="H279" s="5">
        <v>8</v>
      </c>
      <c r="I279" s="5">
        <v>14</v>
      </c>
      <c r="J279" s="8">
        <v>665000</v>
      </c>
      <c r="K279" s="8">
        <v>650000</v>
      </c>
      <c r="L279" s="8">
        <v>650000</v>
      </c>
    </row>
    <row r="280" spans="1:12">
      <c r="A280" t="s">
        <v>396</v>
      </c>
      <c r="B280" t="s">
        <v>73</v>
      </c>
      <c r="C280" t="s">
        <v>14</v>
      </c>
      <c r="D280" s="7">
        <v>2026</v>
      </c>
      <c r="E280" s="7" t="s">
        <v>64</v>
      </c>
      <c r="F280" t="s">
        <v>65</v>
      </c>
      <c r="G280" t="s">
        <v>11</v>
      </c>
      <c r="H280" s="5">
        <v>9</v>
      </c>
      <c r="I280" s="5">
        <v>9</v>
      </c>
      <c r="J280" s="8">
        <v>645000</v>
      </c>
      <c r="K280" s="8">
        <v>635000</v>
      </c>
      <c r="L280" s="8">
        <v>650000</v>
      </c>
    </row>
    <row r="281" spans="1:12">
      <c r="A281" t="s">
        <v>397</v>
      </c>
      <c r="B281" t="s">
        <v>73</v>
      </c>
      <c r="C281" t="s">
        <v>14</v>
      </c>
      <c r="D281" s="7">
        <v>2026</v>
      </c>
      <c r="E281" s="7" t="s">
        <v>64</v>
      </c>
      <c r="F281" t="s">
        <v>65</v>
      </c>
      <c r="G281" t="s">
        <v>11</v>
      </c>
      <c r="H281" s="5">
        <v>10</v>
      </c>
      <c r="I281" s="5">
        <v>15</v>
      </c>
      <c r="J281" s="8">
        <v>680000</v>
      </c>
      <c r="K281" s="8">
        <v>660000</v>
      </c>
      <c r="L281" s="8">
        <v>650000</v>
      </c>
    </row>
    <row r="282" spans="1:12">
      <c r="A282" t="s">
        <v>398</v>
      </c>
      <c r="B282" t="s">
        <v>74</v>
      </c>
      <c r="C282" t="s">
        <v>14</v>
      </c>
      <c r="D282" s="7">
        <v>2026</v>
      </c>
      <c r="E282" s="7" t="s">
        <v>75</v>
      </c>
      <c r="F282" t="s">
        <v>76</v>
      </c>
      <c r="G282" t="s">
        <v>11</v>
      </c>
      <c r="H282" s="5">
        <v>1</v>
      </c>
      <c r="I282" s="5">
        <v>1</v>
      </c>
      <c r="J282" s="8">
        <v>695000</v>
      </c>
      <c r="K282" s="8">
        <v>690000</v>
      </c>
      <c r="L282" s="8">
        <v>670000</v>
      </c>
    </row>
    <row r="283" spans="1:12">
      <c r="A283" t="s">
        <v>399</v>
      </c>
      <c r="B283" t="s">
        <v>74</v>
      </c>
      <c r="C283" t="s">
        <v>14</v>
      </c>
      <c r="D283" s="7">
        <v>2026</v>
      </c>
      <c r="E283" s="7" t="s">
        <v>75</v>
      </c>
      <c r="F283" t="s">
        <v>76</v>
      </c>
      <c r="G283" t="s">
        <v>11</v>
      </c>
      <c r="H283" s="5">
        <v>2</v>
      </c>
      <c r="I283" s="5">
        <v>11</v>
      </c>
      <c r="J283" s="8">
        <v>690000</v>
      </c>
      <c r="K283" s="8">
        <v>685000</v>
      </c>
      <c r="L283" s="8">
        <v>670000</v>
      </c>
    </row>
    <row r="284" spans="1:12">
      <c r="A284" t="s">
        <v>400</v>
      </c>
      <c r="B284" t="s">
        <v>74</v>
      </c>
      <c r="C284" t="s">
        <v>14</v>
      </c>
      <c r="D284" s="7">
        <v>2026</v>
      </c>
      <c r="E284" s="7" t="s">
        <v>75</v>
      </c>
      <c r="F284" t="s">
        <v>76</v>
      </c>
      <c r="G284" t="s">
        <v>11</v>
      </c>
      <c r="H284" s="5">
        <v>3</v>
      </c>
      <c r="I284" s="5">
        <v>3</v>
      </c>
      <c r="J284" s="8">
        <v>685000</v>
      </c>
      <c r="K284" s="8">
        <v>685000</v>
      </c>
      <c r="L284" s="8">
        <v>670000</v>
      </c>
    </row>
    <row r="285" spans="1:12">
      <c r="A285" t="s">
        <v>401</v>
      </c>
      <c r="B285" t="s">
        <v>74</v>
      </c>
      <c r="C285" t="s">
        <v>14</v>
      </c>
      <c r="D285" s="7">
        <v>2026</v>
      </c>
      <c r="E285" s="7" t="s">
        <v>75</v>
      </c>
      <c r="F285" t="s">
        <v>76</v>
      </c>
      <c r="G285" t="s">
        <v>11</v>
      </c>
      <c r="H285" s="5">
        <v>4</v>
      </c>
      <c r="I285" s="5">
        <v>4</v>
      </c>
      <c r="J285" s="8">
        <v>710000</v>
      </c>
      <c r="K285" s="8">
        <v>700000</v>
      </c>
      <c r="L285" s="8">
        <v>670000</v>
      </c>
    </row>
    <row r="286" spans="1:12">
      <c r="A286" t="s">
        <v>402</v>
      </c>
      <c r="B286" t="s">
        <v>74</v>
      </c>
      <c r="C286" t="s">
        <v>14</v>
      </c>
      <c r="D286" s="7">
        <v>2026</v>
      </c>
      <c r="E286" s="7" t="s">
        <v>75</v>
      </c>
      <c r="F286" t="s">
        <v>76</v>
      </c>
      <c r="G286" t="s">
        <v>11</v>
      </c>
      <c r="H286" s="5">
        <v>5</v>
      </c>
      <c r="I286" s="5">
        <v>13</v>
      </c>
      <c r="J286" s="8">
        <v>685000</v>
      </c>
      <c r="K286" s="8">
        <v>680000</v>
      </c>
      <c r="L286" s="8">
        <v>670000</v>
      </c>
    </row>
    <row r="287" spans="1:12">
      <c r="A287" t="s">
        <v>403</v>
      </c>
      <c r="B287" t="s">
        <v>74</v>
      </c>
      <c r="C287" t="s">
        <v>14</v>
      </c>
      <c r="D287" s="7">
        <v>2026</v>
      </c>
      <c r="E287" s="7" t="s">
        <v>75</v>
      </c>
      <c r="F287" t="s">
        <v>76</v>
      </c>
      <c r="G287" t="s">
        <v>11</v>
      </c>
      <c r="H287" s="5">
        <v>6</v>
      </c>
      <c r="I287" s="5">
        <v>6</v>
      </c>
      <c r="J287" s="8">
        <v>675000</v>
      </c>
      <c r="K287" s="8">
        <v>685000</v>
      </c>
      <c r="L287" s="8">
        <v>670000</v>
      </c>
    </row>
    <row r="288" spans="1:12">
      <c r="A288" t="s">
        <v>404</v>
      </c>
      <c r="B288" t="s">
        <v>74</v>
      </c>
      <c r="C288" t="s">
        <v>14</v>
      </c>
      <c r="D288" s="7">
        <v>2026</v>
      </c>
      <c r="E288" s="7" t="s">
        <v>75</v>
      </c>
      <c r="F288" t="s">
        <v>76</v>
      </c>
      <c r="G288" t="s">
        <v>11</v>
      </c>
      <c r="H288" s="5">
        <v>7</v>
      </c>
      <c r="I288" s="5">
        <v>7</v>
      </c>
      <c r="J288" s="8">
        <v>675000</v>
      </c>
      <c r="K288" s="8">
        <v>685000</v>
      </c>
      <c r="L288" s="8">
        <v>670000</v>
      </c>
    </row>
    <row r="289" spans="1:12">
      <c r="A289" t="s">
        <v>405</v>
      </c>
      <c r="B289" t="s">
        <v>74</v>
      </c>
      <c r="C289" t="s">
        <v>14</v>
      </c>
      <c r="D289" s="7">
        <v>2026</v>
      </c>
      <c r="E289" s="7" t="s">
        <v>75</v>
      </c>
      <c r="F289" t="s">
        <v>76</v>
      </c>
      <c r="G289" t="s">
        <v>11</v>
      </c>
      <c r="H289" s="5">
        <v>8</v>
      </c>
      <c r="I289" s="5">
        <v>8</v>
      </c>
      <c r="J289" s="8">
        <v>665000</v>
      </c>
      <c r="K289" s="8">
        <v>665000</v>
      </c>
      <c r="L289" s="8">
        <v>670000</v>
      </c>
    </row>
    <row r="290" spans="1:12">
      <c r="A290" t="s">
        <v>406</v>
      </c>
      <c r="B290" t="s">
        <v>74</v>
      </c>
      <c r="C290" t="s">
        <v>14</v>
      </c>
      <c r="D290" s="7">
        <v>2026</v>
      </c>
      <c r="E290" s="7" t="s">
        <v>75</v>
      </c>
      <c r="F290" t="s">
        <v>76</v>
      </c>
      <c r="G290" t="s">
        <v>11</v>
      </c>
      <c r="H290" s="5">
        <v>9</v>
      </c>
      <c r="I290" s="5">
        <v>9</v>
      </c>
      <c r="J290" s="8">
        <v>710000</v>
      </c>
      <c r="K290" s="8">
        <v>695000</v>
      </c>
      <c r="L290" s="8">
        <v>670000</v>
      </c>
    </row>
    <row r="291" spans="1:12">
      <c r="A291" t="s">
        <v>407</v>
      </c>
      <c r="B291" t="s">
        <v>74</v>
      </c>
      <c r="C291" t="s">
        <v>14</v>
      </c>
      <c r="D291" s="7">
        <v>2026</v>
      </c>
      <c r="E291" s="7" t="s">
        <v>75</v>
      </c>
      <c r="F291" t="s">
        <v>76</v>
      </c>
      <c r="G291" t="s">
        <v>11</v>
      </c>
      <c r="H291" s="5">
        <v>10</v>
      </c>
      <c r="I291" s="5">
        <v>10</v>
      </c>
      <c r="J291" s="8">
        <v>690000</v>
      </c>
      <c r="K291" s="8">
        <v>685000</v>
      </c>
      <c r="L291" s="8">
        <v>670000</v>
      </c>
    </row>
    <row r="292" spans="1:12">
      <c r="A292" t="s">
        <v>408</v>
      </c>
      <c r="B292" t="s">
        <v>77</v>
      </c>
      <c r="C292" t="s">
        <v>14</v>
      </c>
      <c r="D292" s="7">
        <v>2026</v>
      </c>
      <c r="E292" s="7" t="s">
        <v>78</v>
      </c>
      <c r="F292" t="s">
        <v>79</v>
      </c>
      <c r="G292" t="s">
        <v>11</v>
      </c>
      <c r="H292" s="5">
        <v>1</v>
      </c>
      <c r="I292" s="5">
        <v>1</v>
      </c>
      <c r="J292" s="8">
        <v>855000</v>
      </c>
      <c r="K292" s="8">
        <v>780000</v>
      </c>
      <c r="L292" s="8">
        <v>790000</v>
      </c>
    </row>
    <row r="293" spans="1:12">
      <c r="A293" t="s">
        <v>409</v>
      </c>
      <c r="B293" t="s">
        <v>77</v>
      </c>
      <c r="C293" t="s">
        <v>14</v>
      </c>
      <c r="D293" s="7">
        <v>2026</v>
      </c>
      <c r="E293" s="7" t="s">
        <v>78</v>
      </c>
      <c r="F293" t="s">
        <v>79</v>
      </c>
      <c r="G293" t="s">
        <v>11</v>
      </c>
      <c r="H293" s="5">
        <v>2</v>
      </c>
      <c r="I293" s="5">
        <v>2</v>
      </c>
      <c r="J293" s="8">
        <v>845000</v>
      </c>
      <c r="K293" s="8">
        <v>795000</v>
      </c>
      <c r="L293" s="8">
        <v>790000</v>
      </c>
    </row>
    <row r="294" spans="1:12">
      <c r="A294" t="s">
        <v>410</v>
      </c>
      <c r="B294" t="s">
        <v>77</v>
      </c>
      <c r="C294" t="s">
        <v>14</v>
      </c>
      <c r="D294" s="7">
        <v>2026</v>
      </c>
      <c r="E294" s="7" t="s">
        <v>78</v>
      </c>
      <c r="F294" t="s">
        <v>79</v>
      </c>
      <c r="G294" t="s">
        <v>11</v>
      </c>
      <c r="H294" s="5">
        <v>3</v>
      </c>
      <c r="I294" s="5">
        <v>3</v>
      </c>
      <c r="J294" s="8">
        <v>800000</v>
      </c>
      <c r="K294" s="8">
        <v>785000</v>
      </c>
      <c r="L294" s="8">
        <v>790000</v>
      </c>
    </row>
    <row r="295" spans="1:12">
      <c r="A295" t="s">
        <v>411</v>
      </c>
      <c r="B295" t="s">
        <v>77</v>
      </c>
      <c r="C295" t="s">
        <v>14</v>
      </c>
      <c r="D295" s="7">
        <v>2026</v>
      </c>
      <c r="E295" s="7" t="s">
        <v>78</v>
      </c>
      <c r="F295" t="s">
        <v>79</v>
      </c>
      <c r="G295" t="s">
        <v>11</v>
      </c>
      <c r="H295" s="5">
        <v>4</v>
      </c>
      <c r="I295" s="5">
        <v>11</v>
      </c>
      <c r="J295" s="8">
        <v>790000</v>
      </c>
      <c r="K295" s="8">
        <v>785000</v>
      </c>
      <c r="L295" s="8">
        <v>790000</v>
      </c>
    </row>
    <row r="296" spans="1:12">
      <c r="A296" t="s">
        <v>412</v>
      </c>
      <c r="B296" t="s">
        <v>77</v>
      </c>
      <c r="C296" t="s">
        <v>14</v>
      </c>
      <c r="D296" s="7">
        <v>2026</v>
      </c>
      <c r="E296" s="7" t="s">
        <v>78</v>
      </c>
      <c r="F296" t="s">
        <v>79</v>
      </c>
      <c r="G296" t="s">
        <v>11</v>
      </c>
      <c r="H296" s="5">
        <v>5</v>
      </c>
      <c r="I296" s="5">
        <v>5</v>
      </c>
      <c r="J296" s="8">
        <v>805000</v>
      </c>
      <c r="K296" s="8">
        <v>790000</v>
      </c>
      <c r="L296" s="8">
        <v>790000</v>
      </c>
    </row>
    <row r="297" spans="1:12">
      <c r="A297" t="s">
        <v>413</v>
      </c>
      <c r="B297" t="s">
        <v>77</v>
      </c>
      <c r="C297" t="s">
        <v>14</v>
      </c>
      <c r="D297" s="7">
        <v>2026</v>
      </c>
      <c r="E297" s="7" t="s">
        <v>78</v>
      </c>
      <c r="F297" t="s">
        <v>79</v>
      </c>
      <c r="G297" t="s">
        <v>11</v>
      </c>
      <c r="H297" s="5">
        <v>6</v>
      </c>
      <c r="I297" s="5">
        <v>16</v>
      </c>
      <c r="J297" s="8">
        <v>830000</v>
      </c>
      <c r="K297" s="8">
        <v>795000</v>
      </c>
      <c r="L297" s="8">
        <v>790000</v>
      </c>
    </row>
    <row r="298" spans="1:12">
      <c r="A298" t="s">
        <v>414</v>
      </c>
      <c r="B298" t="s">
        <v>77</v>
      </c>
      <c r="C298" t="s">
        <v>14</v>
      </c>
      <c r="D298" s="7">
        <v>2026</v>
      </c>
      <c r="E298" s="7" t="s">
        <v>78</v>
      </c>
      <c r="F298" t="s">
        <v>79</v>
      </c>
      <c r="G298" t="s">
        <v>11</v>
      </c>
      <c r="H298" s="5">
        <v>7</v>
      </c>
      <c r="I298" s="5">
        <v>20</v>
      </c>
      <c r="J298" s="8">
        <v>840000</v>
      </c>
      <c r="K298" s="8">
        <v>795000</v>
      </c>
      <c r="L298" s="8">
        <v>790000</v>
      </c>
    </row>
    <row r="299" spans="1:12">
      <c r="A299" t="s">
        <v>415</v>
      </c>
      <c r="B299" t="s">
        <v>77</v>
      </c>
      <c r="C299" t="s">
        <v>14</v>
      </c>
      <c r="D299" s="7">
        <v>2026</v>
      </c>
      <c r="E299" s="7" t="s">
        <v>78</v>
      </c>
      <c r="F299" t="s">
        <v>79</v>
      </c>
      <c r="G299" t="s">
        <v>11</v>
      </c>
      <c r="H299" s="5">
        <v>8</v>
      </c>
      <c r="I299" s="5">
        <v>21</v>
      </c>
      <c r="J299" s="8">
        <v>845000</v>
      </c>
      <c r="K299" s="8">
        <v>790000</v>
      </c>
      <c r="L299" s="8">
        <v>790000</v>
      </c>
    </row>
    <row r="300" spans="1:12">
      <c r="A300" t="s">
        <v>416</v>
      </c>
      <c r="B300" t="s">
        <v>77</v>
      </c>
      <c r="C300" t="s">
        <v>14</v>
      </c>
      <c r="D300" s="7">
        <v>2026</v>
      </c>
      <c r="E300" s="7" t="s">
        <v>78</v>
      </c>
      <c r="F300" t="s">
        <v>79</v>
      </c>
      <c r="G300" t="s">
        <v>11</v>
      </c>
      <c r="H300" s="5">
        <v>9</v>
      </c>
      <c r="I300" s="5">
        <v>9</v>
      </c>
      <c r="J300" s="8">
        <v>825000</v>
      </c>
      <c r="K300" s="8">
        <v>795000</v>
      </c>
      <c r="L300" s="8">
        <v>790000</v>
      </c>
    </row>
    <row r="301" spans="1:12">
      <c r="A301" t="s">
        <v>417</v>
      </c>
      <c r="B301" t="s">
        <v>77</v>
      </c>
      <c r="C301" t="s">
        <v>14</v>
      </c>
      <c r="D301" s="7">
        <v>2026</v>
      </c>
      <c r="E301" s="7" t="s">
        <v>78</v>
      </c>
      <c r="F301" t="s">
        <v>79</v>
      </c>
      <c r="G301" t="s">
        <v>11</v>
      </c>
      <c r="H301" s="5">
        <v>10</v>
      </c>
      <c r="I301" s="5">
        <v>19</v>
      </c>
      <c r="J301" s="8">
        <v>800000</v>
      </c>
      <c r="K301" s="8">
        <v>790000</v>
      </c>
      <c r="L301" s="8">
        <v>790000</v>
      </c>
    </row>
    <row r="302" spans="1:12">
      <c r="A302" t="s">
        <v>418</v>
      </c>
      <c r="B302" t="s">
        <v>80</v>
      </c>
      <c r="C302" t="s">
        <v>14</v>
      </c>
      <c r="D302" s="7">
        <v>2026</v>
      </c>
      <c r="E302" s="7" t="s">
        <v>81</v>
      </c>
      <c r="F302" t="s">
        <v>82</v>
      </c>
      <c r="G302" t="s">
        <v>11</v>
      </c>
      <c r="H302" s="5">
        <v>1</v>
      </c>
      <c r="I302" s="5">
        <v>1</v>
      </c>
      <c r="J302" s="8">
        <v>780000</v>
      </c>
      <c r="K302" s="8">
        <v>750000</v>
      </c>
      <c r="L302" s="8">
        <v>749900</v>
      </c>
    </row>
    <row r="303" spans="1:12">
      <c r="A303" t="s">
        <v>419</v>
      </c>
      <c r="B303" t="s">
        <v>80</v>
      </c>
      <c r="C303" t="s">
        <v>14</v>
      </c>
      <c r="D303" s="7">
        <v>2026</v>
      </c>
      <c r="E303" s="7" t="s">
        <v>81</v>
      </c>
      <c r="F303" t="s">
        <v>82</v>
      </c>
      <c r="G303" t="s">
        <v>11</v>
      </c>
      <c r="H303" s="5">
        <v>2</v>
      </c>
      <c r="I303" s="5">
        <v>12</v>
      </c>
      <c r="J303" s="8">
        <v>775000</v>
      </c>
      <c r="K303" s="8">
        <v>765000</v>
      </c>
      <c r="L303" s="8">
        <v>749900</v>
      </c>
    </row>
    <row r="304" spans="1:12">
      <c r="A304" t="s">
        <v>420</v>
      </c>
      <c r="B304" t="s">
        <v>80</v>
      </c>
      <c r="C304" t="s">
        <v>14</v>
      </c>
      <c r="D304" s="7">
        <v>2026</v>
      </c>
      <c r="E304" s="7" t="s">
        <v>81</v>
      </c>
      <c r="F304" t="s">
        <v>82</v>
      </c>
      <c r="G304" t="s">
        <v>11</v>
      </c>
      <c r="H304" s="5">
        <v>3</v>
      </c>
      <c r="I304" s="5">
        <v>3</v>
      </c>
      <c r="J304" s="8">
        <v>765000</v>
      </c>
      <c r="K304" s="8">
        <v>755000</v>
      </c>
      <c r="L304" s="8">
        <v>749900</v>
      </c>
    </row>
    <row r="305" spans="1:12">
      <c r="A305" t="s">
        <v>421</v>
      </c>
      <c r="B305" t="s">
        <v>80</v>
      </c>
      <c r="C305" t="s">
        <v>14</v>
      </c>
      <c r="D305" s="7">
        <v>2026</v>
      </c>
      <c r="E305" s="7" t="s">
        <v>81</v>
      </c>
      <c r="F305" t="s">
        <v>82</v>
      </c>
      <c r="G305" t="s">
        <v>11</v>
      </c>
      <c r="H305" s="5">
        <v>4</v>
      </c>
      <c r="I305" s="5">
        <v>13</v>
      </c>
      <c r="J305" s="8">
        <v>775000</v>
      </c>
      <c r="K305" s="8">
        <v>755000</v>
      </c>
      <c r="L305" s="8">
        <v>749900</v>
      </c>
    </row>
    <row r="306" spans="1:12">
      <c r="A306" t="s">
        <v>422</v>
      </c>
      <c r="B306" t="s">
        <v>80</v>
      </c>
      <c r="C306" t="s">
        <v>14</v>
      </c>
      <c r="D306" s="7">
        <v>2026</v>
      </c>
      <c r="E306" s="7" t="s">
        <v>81</v>
      </c>
      <c r="F306" t="s">
        <v>82</v>
      </c>
      <c r="G306" t="s">
        <v>11</v>
      </c>
      <c r="H306" s="5">
        <v>5</v>
      </c>
      <c r="I306" s="5">
        <v>5</v>
      </c>
      <c r="J306" s="8">
        <v>800000</v>
      </c>
      <c r="K306" s="8">
        <v>775000</v>
      </c>
      <c r="L306" s="8">
        <v>749900</v>
      </c>
    </row>
    <row r="307" spans="1:12">
      <c r="A307" t="s">
        <v>423</v>
      </c>
      <c r="B307" t="s">
        <v>80</v>
      </c>
      <c r="C307" t="s">
        <v>14</v>
      </c>
      <c r="D307" s="7">
        <v>2026</v>
      </c>
      <c r="E307" s="7" t="s">
        <v>81</v>
      </c>
      <c r="F307" t="s">
        <v>82</v>
      </c>
      <c r="G307" t="s">
        <v>11</v>
      </c>
      <c r="H307" s="5">
        <v>6</v>
      </c>
      <c r="I307" s="5">
        <v>11</v>
      </c>
      <c r="J307" s="8">
        <v>755000</v>
      </c>
      <c r="K307" s="8">
        <v>755000</v>
      </c>
      <c r="L307" s="8">
        <v>749900</v>
      </c>
    </row>
    <row r="308" spans="1:12">
      <c r="A308" t="s">
        <v>424</v>
      </c>
      <c r="B308" t="s">
        <v>80</v>
      </c>
      <c r="C308" t="s">
        <v>14</v>
      </c>
      <c r="D308" s="7">
        <v>2026</v>
      </c>
      <c r="E308" s="7" t="s">
        <v>81</v>
      </c>
      <c r="F308" t="s">
        <v>82</v>
      </c>
      <c r="G308" t="s">
        <v>11</v>
      </c>
      <c r="H308" s="5">
        <v>7</v>
      </c>
      <c r="I308" s="5">
        <v>7</v>
      </c>
      <c r="J308" s="8">
        <v>775000</v>
      </c>
      <c r="K308" s="8">
        <v>760000</v>
      </c>
      <c r="L308" s="8">
        <v>749900</v>
      </c>
    </row>
    <row r="309" spans="1:12">
      <c r="A309" t="s">
        <v>425</v>
      </c>
      <c r="B309" t="s">
        <v>80</v>
      </c>
      <c r="C309" t="s">
        <v>14</v>
      </c>
      <c r="D309" s="7">
        <v>2026</v>
      </c>
      <c r="E309" s="7" t="s">
        <v>81</v>
      </c>
      <c r="F309" t="s">
        <v>82</v>
      </c>
      <c r="G309" t="s">
        <v>11</v>
      </c>
      <c r="H309" s="5">
        <v>8</v>
      </c>
      <c r="I309" s="5">
        <v>8</v>
      </c>
      <c r="J309" s="8">
        <v>755000</v>
      </c>
      <c r="K309" s="8">
        <v>750000</v>
      </c>
      <c r="L309" s="8">
        <v>749900</v>
      </c>
    </row>
    <row r="310" spans="1:12">
      <c r="A310" t="s">
        <v>426</v>
      </c>
      <c r="B310" t="s">
        <v>80</v>
      </c>
      <c r="C310" t="s">
        <v>14</v>
      </c>
      <c r="D310" s="7">
        <v>2026</v>
      </c>
      <c r="E310" s="7" t="s">
        <v>81</v>
      </c>
      <c r="F310" t="s">
        <v>82</v>
      </c>
      <c r="G310" t="s">
        <v>11</v>
      </c>
      <c r="H310" s="5">
        <v>9</v>
      </c>
      <c r="I310" s="5">
        <v>9</v>
      </c>
      <c r="J310" s="8">
        <v>775000</v>
      </c>
      <c r="K310" s="8">
        <v>765000</v>
      </c>
      <c r="L310" s="8">
        <v>749900</v>
      </c>
    </row>
    <row r="311" spans="1:12">
      <c r="A311" t="s">
        <v>427</v>
      </c>
      <c r="B311" t="s">
        <v>80</v>
      </c>
      <c r="C311" t="s">
        <v>14</v>
      </c>
      <c r="D311" s="7">
        <v>2026</v>
      </c>
      <c r="E311" s="7" t="s">
        <v>81</v>
      </c>
      <c r="F311" t="s">
        <v>82</v>
      </c>
      <c r="G311" t="s">
        <v>11</v>
      </c>
      <c r="H311" s="5">
        <v>10</v>
      </c>
      <c r="I311" s="5">
        <v>10</v>
      </c>
      <c r="J311" s="8">
        <v>755000</v>
      </c>
      <c r="K311" s="8">
        <v>760000</v>
      </c>
      <c r="L311" s="8">
        <v>749900</v>
      </c>
    </row>
    <row r="312" spans="1:12">
      <c r="A312" t="s">
        <v>428</v>
      </c>
      <c r="B312" t="s">
        <v>83</v>
      </c>
      <c r="C312" t="s">
        <v>14</v>
      </c>
      <c r="D312" s="7">
        <v>2026</v>
      </c>
      <c r="E312" s="7" t="s">
        <v>84</v>
      </c>
      <c r="F312" t="s">
        <v>85</v>
      </c>
      <c r="G312" t="s">
        <v>11</v>
      </c>
      <c r="H312" s="5">
        <v>1</v>
      </c>
      <c r="I312" s="5">
        <v>1</v>
      </c>
      <c r="J312" s="8">
        <v>650000</v>
      </c>
      <c r="K312" s="8">
        <v>645000</v>
      </c>
      <c r="L312" s="8">
        <v>635000</v>
      </c>
    </row>
    <row r="313" spans="1:12">
      <c r="A313" t="s">
        <v>429</v>
      </c>
      <c r="B313" t="s">
        <v>83</v>
      </c>
      <c r="C313" t="s">
        <v>14</v>
      </c>
      <c r="D313" s="7">
        <v>2026</v>
      </c>
      <c r="E313" s="7" t="s">
        <v>84</v>
      </c>
      <c r="F313" t="s">
        <v>85</v>
      </c>
      <c r="G313" t="s">
        <v>11</v>
      </c>
      <c r="H313" s="5">
        <v>2</v>
      </c>
      <c r="I313" s="5">
        <v>2</v>
      </c>
      <c r="J313" s="8">
        <v>665000</v>
      </c>
      <c r="K313" s="8">
        <v>650000</v>
      </c>
      <c r="L313" s="8">
        <v>635000</v>
      </c>
    </row>
    <row r="314" spans="1:12">
      <c r="A314" t="s">
        <v>430</v>
      </c>
      <c r="B314" t="s">
        <v>83</v>
      </c>
      <c r="C314" t="s">
        <v>14</v>
      </c>
      <c r="D314" s="7">
        <v>2026</v>
      </c>
      <c r="E314" s="7" t="s">
        <v>84</v>
      </c>
      <c r="F314" t="s">
        <v>85</v>
      </c>
      <c r="G314" t="s">
        <v>11</v>
      </c>
      <c r="H314" s="5">
        <v>3</v>
      </c>
      <c r="I314" s="5">
        <v>3</v>
      </c>
      <c r="J314" s="8">
        <v>655000</v>
      </c>
      <c r="K314" s="8">
        <v>650000</v>
      </c>
      <c r="L314" s="8">
        <v>635000</v>
      </c>
    </row>
    <row r="315" spans="1:12">
      <c r="A315" t="s">
        <v>431</v>
      </c>
      <c r="B315" t="s">
        <v>83</v>
      </c>
      <c r="C315" t="s">
        <v>14</v>
      </c>
      <c r="D315" s="7">
        <v>2026</v>
      </c>
      <c r="E315" s="7" t="s">
        <v>84</v>
      </c>
      <c r="F315" t="s">
        <v>85</v>
      </c>
      <c r="G315" t="s">
        <v>11</v>
      </c>
      <c r="H315" s="5">
        <v>4</v>
      </c>
      <c r="I315" s="5">
        <v>4</v>
      </c>
      <c r="J315" s="8">
        <v>660000</v>
      </c>
      <c r="K315" s="8">
        <v>650000</v>
      </c>
      <c r="L315" s="8">
        <v>635000</v>
      </c>
    </row>
    <row r="316" spans="1:12">
      <c r="A316" t="s">
        <v>432</v>
      </c>
      <c r="B316" t="s">
        <v>83</v>
      </c>
      <c r="C316" t="s">
        <v>14</v>
      </c>
      <c r="D316" s="7">
        <v>2026</v>
      </c>
      <c r="E316" s="7" t="s">
        <v>84</v>
      </c>
      <c r="F316" t="s">
        <v>85</v>
      </c>
      <c r="G316" t="s">
        <v>11</v>
      </c>
      <c r="H316" s="5">
        <v>5</v>
      </c>
      <c r="I316" s="5">
        <v>5</v>
      </c>
      <c r="J316" s="8">
        <v>660000</v>
      </c>
      <c r="K316" s="8">
        <v>650000</v>
      </c>
      <c r="L316" s="8">
        <v>635000</v>
      </c>
    </row>
    <row r="317" spans="1:12">
      <c r="A317" t="s">
        <v>433</v>
      </c>
      <c r="B317" t="s">
        <v>83</v>
      </c>
      <c r="C317" t="s">
        <v>14</v>
      </c>
      <c r="D317" s="7">
        <v>2026</v>
      </c>
      <c r="E317" s="7" t="s">
        <v>84</v>
      </c>
      <c r="F317" t="s">
        <v>85</v>
      </c>
      <c r="G317" t="s">
        <v>11</v>
      </c>
      <c r="H317" s="5">
        <v>6</v>
      </c>
      <c r="I317" s="5">
        <v>6</v>
      </c>
      <c r="J317" s="8">
        <v>665000</v>
      </c>
      <c r="K317" s="8">
        <v>650000</v>
      </c>
      <c r="L317" s="8">
        <v>635000</v>
      </c>
    </row>
    <row r="318" spans="1:12">
      <c r="A318" t="s">
        <v>434</v>
      </c>
      <c r="B318" t="s">
        <v>83</v>
      </c>
      <c r="C318" t="s">
        <v>14</v>
      </c>
      <c r="D318" s="7">
        <v>2026</v>
      </c>
      <c r="E318" s="7" t="s">
        <v>84</v>
      </c>
      <c r="F318" t="s">
        <v>85</v>
      </c>
      <c r="G318" t="s">
        <v>11</v>
      </c>
      <c r="H318" s="5">
        <v>7</v>
      </c>
      <c r="I318" s="5">
        <v>11</v>
      </c>
      <c r="J318" s="8">
        <v>660000</v>
      </c>
      <c r="K318" s="8">
        <v>650000</v>
      </c>
      <c r="L318" s="8">
        <v>635000</v>
      </c>
    </row>
    <row r="319" spans="1:12">
      <c r="A319" t="s">
        <v>435</v>
      </c>
      <c r="B319" t="s">
        <v>83</v>
      </c>
      <c r="C319" t="s">
        <v>14</v>
      </c>
      <c r="D319" s="7">
        <v>2026</v>
      </c>
      <c r="E319" s="7" t="s">
        <v>84</v>
      </c>
      <c r="F319" t="s">
        <v>85</v>
      </c>
      <c r="G319" t="s">
        <v>11</v>
      </c>
      <c r="H319" s="5">
        <v>8</v>
      </c>
      <c r="I319" s="5">
        <v>8</v>
      </c>
      <c r="J319" s="8">
        <v>665000</v>
      </c>
      <c r="K319" s="8">
        <v>655000</v>
      </c>
      <c r="L319" s="8">
        <v>635000</v>
      </c>
    </row>
    <row r="320" spans="1:12">
      <c r="A320" t="s">
        <v>436</v>
      </c>
      <c r="B320" t="s">
        <v>83</v>
      </c>
      <c r="C320" t="s">
        <v>14</v>
      </c>
      <c r="D320" s="7">
        <v>2026</v>
      </c>
      <c r="E320" s="7" t="s">
        <v>84</v>
      </c>
      <c r="F320" t="s">
        <v>85</v>
      </c>
      <c r="G320" t="s">
        <v>11</v>
      </c>
      <c r="H320" s="5">
        <v>9</v>
      </c>
      <c r="I320" s="5">
        <v>9</v>
      </c>
      <c r="J320" s="8">
        <v>665000</v>
      </c>
      <c r="K320" s="8">
        <v>655000</v>
      </c>
      <c r="L320" s="8">
        <v>635000</v>
      </c>
    </row>
    <row r="321" spans="1:12">
      <c r="A321" t="s">
        <v>437</v>
      </c>
      <c r="B321" t="s">
        <v>83</v>
      </c>
      <c r="C321" t="s">
        <v>14</v>
      </c>
      <c r="D321" s="7">
        <v>2026</v>
      </c>
      <c r="E321" s="7" t="s">
        <v>84</v>
      </c>
      <c r="F321" t="s">
        <v>85</v>
      </c>
      <c r="G321" t="s">
        <v>11</v>
      </c>
      <c r="H321" s="5">
        <v>10</v>
      </c>
      <c r="I321" s="5">
        <v>10</v>
      </c>
      <c r="J321" s="8">
        <v>665000</v>
      </c>
      <c r="K321" s="8">
        <v>655000</v>
      </c>
      <c r="L321" s="8">
        <v>635000</v>
      </c>
    </row>
    <row r="322" spans="1:12">
      <c r="A322" t="s">
        <v>438</v>
      </c>
      <c r="B322" t="s">
        <v>86</v>
      </c>
      <c r="C322" t="s">
        <v>14</v>
      </c>
      <c r="D322" s="7">
        <v>2026</v>
      </c>
      <c r="E322" s="7" t="s">
        <v>87</v>
      </c>
      <c r="F322" t="s">
        <v>88</v>
      </c>
      <c r="G322" t="s">
        <v>11</v>
      </c>
      <c r="H322" s="5">
        <v>1</v>
      </c>
      <c r="I322" s="5">
        <v>1</v>
      </c>
      <c r="J322" s="8">
        <v>655000</v>
      </c>
      <c r="K322" s="8">
        <v>655000</v>
      </c>
      <c r="L322" s="8">
        <v>650000</v>
      </c>
    </row>
    <row r="323" spans="1:12">
      <c r="A323" t="s">
        <v>439</v>
      </c>
      <c r="B323" t="s">
        <v>86</v>
      </c>
      <c r="C323" t="s">
        <v>14</v>
      </c>
      <c r="D323" s="7">
        <v>2026</v>
      </c>
      <c r="E323" s="7" t="s">
        <v>87</v>
      </c>
      <c r="F323" t="s">
        <v>88</v>
      </c>
      <c r="G323" t="s">
        <v>11</v>
      </c>
      <c r="H323" s="5">
        <v>2</v>
      </c>
      <c r="I323" s="5">
        <v>11</v>
      </c>
      <c r="J323" s="8">
        <v>655000</v>
      </c>
      <c r="K323" s="8">
        <v>660000</v>
      </c>
      <c r="L323" s="8">
        <v>650000</v>
      </c>
    </row>
    <row r="324" spans="1:12">
      <c r="A324" t="s">
        <v>440</v>
      </c>
      <c r="B324" t="s">
        <v>86</v>
      </c>
      <c r="C324" t="s">
        <v>14</v>
      </c>
      <c r="D324" s="7">
        <v>2026</v>
      </c>
      <c r="E324" s="7" t="s">
        <v>87</v>
      </c>
      <c r="F324" t="s">
        <v>88</v>
      </c>
      <c r="G324" t="s">
        <v>11</v>
      </c>
      <c r="H324" s="5">
        <v>3</v>
      </c>
      <c r="I324" s="5">
        <v>3</v>
      </c>
      <c r="J324" s="8">
        <v>645000</v>
      </c>
      <c r="K324" s="8">
        <v>650000</v>
      </c>
      <c r="L324" s="8">
        <v>650000</v>
      </c>
    </row>
    <row r="325" spans="1:12">
      <c r="A325" t="s">
        <v>441</v>
      </c>
      <c r="B325" t="s">
        <v>86</v>
      </c>
      <c r="C325" t="s">
        <v>14</v>
      </c>
      <c r="D325" s="7">
        <v>2026</v>
      </c>
      <c r="E325" s="7" t="s">
        <v>87</v>
      </c>
      <c r="F325" t="s">
        <v>88</v>
      </c>
      <c r="G325" t="s">
        <v>11</v>
      </c>
      <c r="H325" s="5">
        <v>4</v>
      </c>
      <c r="I325" s="5">
        <v>4</v>
      </c>
      <c r="J325" s="8">
        <v>660000</v>
      </c>
      <c r="K325" s="8">
        <v>655000</v>
      </c>
      <c r="L325" s="8">
        <v>650000</v>
      </c>
    </row>
    <row r="326" spans="1:12">
      <c r="A326" t="s">
        <v>442</v>
      </c>
      <c r="B326" t="s">
        <v>86</v>
      </c>
      <c r="C326" t="s">
        <v>14</v>
      </c>
      <c r="D326" s="7">
        <v>2026</v>
      </c>
      <c r="E326" s="7" t="s">
        <v>87</v>
      </c>
      <c r="F326" t="s">
        <v>88</v>
      </c>
      <c r="G326" t="s">
        <v>11</v>
      </c>
      <c r="H326" s="5">
        <v>5</v>
      </c>
      <c r="I326" s="5">
        <v>5</v>
      </c>
      <c r="J326" s="8">
        <v>650000</v>
      </c>
      <c r="K326" s="8">
        <v>655000</v>
      </c>
      <c r="L326" s="8">
        <v>650000</v>
      </c>
    </row>
    <row r="327" spans="1:12">
      <c r="A327" t="s">
        <v>443</v>
      </c>
      <c r="B327" t="s">
        <v>86</v>
      </c>
      <c r="C327" t="s">
        <v>14</v>
      </c>
      <c r="D327" s="7">
        <v>2026</v>
      </c>
      <c r="E327" s="7" t="s">
        <v>87</v>
      </c>
      <c r="F327" t="s">
        <v>88</v>
      </c>
      <c r="G327" t="s">
        <v>11</v>
      </c>
      <c r="H327" s="5">
        <v>6</v>
      </c>
      <c r="I327" s="5">
        <v>6</v>
      </c>
      <c r="J327" s="8">
        <v>660000</v>
      </c>
      <c r="K327" s="8">
        <v>655000</v>
      </c>
      <c r="L327" s="8">
        <v>650000</v>
      </c>
    </row>
    <row r="328" spans="1:12">
      <c r="A328" t="s">
        <v>444</v>
      </c>
      <c r="B328" t="s">
        <v>86</v>
      </c>
      <c r="C328" t="s">
        <v>14</v>
      </c>
      <c r="D328" s="7">
        <v>2026</v>
      </c>
      <c r="E328" s="7" t="s">
        <v>87</v>
      </c>
      <c r="F328" t="s">
        <v>88</v>
      </c>
      <c r="G328" t="s">
        <v>11</v>
      </c>
      <c r="H328" s="5">
        <v>7</v>
      </c>
      <c r="I328" s="5">
        <v>7</v>
      </c>
      <c r="J328" s="8">
        <v>655000</v>
      </c>
      <c r="K328" s="8">
        <v>655000</v>
      </c>
      <c r="L328" s="8">
        <v>650000</v>
      </c>
    </row>
    <row r="329" spans="1:12">
      <c r="A329" t="s">
        <v>445</v>
      </c>
      <c r="B329" t="s">
        <v>86</v>
      </c>
      <c r="C329" t="s">
        <v>14</v>
      </c>
      <c r="D329" s="7">
        <v>2026</v>
      </c>
      <c r="E329" s="7" t="s">
        <v>87</v>
      </c>
      <c r="F329" t="s">
        <v>88</v>
      </c>
      <c r="G329" t="s">
        <v>11</v>
      </c>
      <c r="H329" s="5">
        <v>8</v>
      </c>
      <c r="I329" s="5">
        <v>8</v>
      </c>
      <c r="J329" s="8">
        <v>655000</v>
      </c>
      <c r="K329" s="8">
        <v>655000</v>
      </c>
      <c r="L329" s="8">
        <v>650000</v>
      </c>
    </row>
    <row r="330" spans="1:12">
      <c r="A330" t="s">
        <v>446</v>
      </c>
      <c r="B330" t="s">
        <v>86</v>
      </c>
      <c r="C330" t="s">
        <v>14</v>
      </c>
      <c r="D330" s="7">
        <v>2026</v>
      </c>
      <c r="E330" s="7" t="s">
        <v>87</v>
      </c>
      <c r="F330" t="s">
        <v>88</v>
      </c>
      <c r="G330" t="s">
        <v>11</v>
      </c>
      <c r="H330" s="5">
        <v>9</v>
      </c>
      <c r="I330" s="5">
        <v>13</v>
      </c>
      <c r="J330" s="8">
        <v>660000</v>
      </c>
      <c r="K330" s="8">
        <v>650000</v>
      </c>
      <c r="L330" s="8">
        <v>650000</v>
      </c>
    </row>
    <row r="331" spans="1:12">
      <c r="A331" t="s">
        <v>447</v>
      </c>
      <c r="B331" t="s">
        <v>86</v>
      </c>
      <c r="C331" t="s">
        <v>14</v>
      </c>
      <c r="D331" s="7">
        <v>2026</v>
      </c>
      <c r="E331" s="7" t="s">
        <v>87</v>
      </c>
      <c r="F331" t="s">
        <v>88</v>
      </c>
      <c r="G331" t="s">
        <v>11</v>
      </c>
      <c r="H331" s="5">
        <v>10</v>
      </c>
      <c r="I331" s="5">
        <v>10</v>
      </c>
      <c r="J331" s="8">
        <v>655000</v>
      </c>
      <c r="K331" s="8">
        <v>660000</v>
      </c>
      <c r="L331" s="8">
        <v>650000</v>
      </c>
    </row>
    <row r="332" spans="1:12">
      <c r="A332" t="s">
        <v>448</v>
      </c>
      <c r="B332" t="s">
        <v>89</v>
      </c>
      <c r="C332" t="s">
        <v>14</v>
      </c>
      <c r="D332" s="7">
        <v>2026</v>
      </c>
      <c r="E332" s="7" t="s">
        <v>90</v>
      </c>
      <c r="F332" t="s">
        <v>91</v>
      </c>
      <c r="G332" t="s">
        <v>11</v>
      </c>
      <c r="H332" s="5">
        <v>1</v>
      </c>
      <c r="I332" s="5">
        <v>1</v>
      </c>
      <c r="J332" s="8">
        <v>610000</v>
      </c>
      <c r="K332" s="8">
        <v>600000</v>
      </c>
      <c r="L332" s="8">
        <v>580000</v>
      </c>
    </row>
    <row r="333" spans="1:12">
      <c r="A333" t="s">
        <v>449</v>
      </c>
      <c r="B333" t="s">
        <v>89</v>
      </c>
      <c r="C333" t="s">
        <v>14</v>
      </c>
      <c r="D333" s="7">
        <v>2026</v>
      </c>
      <c r="E333" s="7" t="s">
        <v>90</v>
      </c>
      <c r="F333" t="s">
        <v>91</v>
      </c>
      <c r="G333" t="s">
        <v>11</v>
      </c>
      <c r="H333" s="5">
        <v>2</v>
      </c>
      <c r="I333" s="5">
        <v>2</v>
      </c>
      <c r="J333" s="8">
        <v>600000</v>
      </c>
      <c r="K333" s="8">
        <v>595000</v>
      </c>
      <c r="L333" s="8">
        <v>580000</v>
      </c>
    </row>
    <row r="334" spans="1:12">
      <c r="A334" t="s">
        <v>450</v>
      </c>
      <c r="B334" t="s">
        <v>89</v>
      </c>
      <c r="C334" t="s">
        <v>14</v>
      </c>
      <c r="D334" s="7">
        <v>2026</v>
      </c>
      <c r="E334" s="7" t="s">
        <v>90</v>
      </c>
      <c r="F334" t="s">
        <v>91</v>
      </c>
      <c r="G334" t="s">
        <v>11</v>
      </c>
      <c r="H334" s="5">
        <v>3</v>
      </c>
      <c r="I334" s="5">
        <v>3</v>
      </c>
      <c r="J334" s="8">
        <v>600000</v>
      </c>
      <c r="K334" s="8">
        <v>595000</v>
      </c>
      <c r="L334" s="8">
        <v>580000</v>
      </c>
    </row>
    <row r="335" spans="1:12">
      <c r="A335" t="s">
        <v>451</v>
      </c>
      <c r="B335" t="s">
        <v>89</v>
      </c>
      <c r="C335" t="s">
        <v>14</v>
      </c>
      <c r="D335" s="7">
        <v>2026</v>
      </c>
      <c r="E335" s="7" t="s">
        <v>90</v>
      </c>
      <c r="F335" t="s">
        <v>91</v>
      </c>
      <c r="G335" t="s">
        <v>11</v>
      </c>
      <c r="H335" s="5">
        <v>4</v>
      </c>
      <c r="I335" s="5">
        <v>4</v>
      </c>
      <c r="J335" s="8">
        <v>600000</v>
      </c>
      <c r="K335" s="8">
        <v>595000</v>
      </c>
      <c r="L335" s="8">
        <v>580000</v>
      </c>
    </row>
    <row r="336" spans="1:12">
      <c r="A336" t="s">
        <v>452</v>
      </c>
      <c r="B336" t="s">
        <v>89</v>
      </c>
      <c r="C336" t="s">
        <v>14</v>
      </c>
      <c r="D336" s="7">
        <v>2026</v>
      </c>
      <c r="E336" s="7" t="s">
        <v>90</v>
      </c>
      <c r="F336" t="s">
        <v>91</v>
      </c>
      <c r="G336" t="s">
        <v>11</v>
      </c>
      <c r="H336" s="5">
        <v>5</v>
      </c>
      <c r="I336" s="5">
        <v>5</v>
      </c>
      <c r="J336" s="8">
        <v>625000</v>
      </c>
      <c r="K336" s="8">
        <v>610000</v>
      </c>
      <c r="L336" s="8">
        <v>580000</v>
      </c>
    </row>
    <row r="337" spans="1:12">
      <c r="A337" t="s">
        <v>453</v>
      </c>
      <c r="B337" t="s">
        <v>89</v>
      </c>
      <c r="C337" t="s">
        <v>14</v>
      </c>
      <c r="D337" s="7">
        <v>2026</v>
      </c>
      <c r="E337" s="7" t="s">
        <v>90</v>
      </c>
      <c r="F337" t="s">
        <v>91</v>
      </c>
      <c r="G337" t="s">
        <v>11</v>
      </c>
      <c r="H337" s="5">
        <v>6</v>
      </c>
      <c r="I337" s="5">
        <v>6</v>
      </c>
      <c r="J337" s="8">
        <v>625000</v>
      </c>
      <c r="K337" s="8">
        <v>630000</v>
      </c>
      <c r="L337" s="8">
        <v>580000</v>
      </c>
    </row>
    <row r="338" spans="1:12">
      <c r="A338" t="s">
        <v>454</v>
      </c>
      <c r="B338" t="s">
        <v>89</v>
      </c>
      <c r="C338" t="s">
        <v>14</v>
      </c>
      <c r="D338" s="7">
        <v>2026</v>
      </c>
      <c r="E338" s="7" t="s">
        <v>90</v>
      </c>
      <c r="F338" t="s">
        <v>91</v>
      </c>
      <c r="G338" t="s">
        <v>11</v>
      </c>
      <c r="H338" s="5">
        <v>7</v>
      </c>
      <c r="I338" s="5">
        <v>7</v>
      </c>
      <c r="J338" s="8">
        <v>605000</v>
      </c>
      <c r="K338" s="8">
        <v>595000</v>
      </c>
      <c r="L338" s="8">
        <v>580000</v>
      </c>
    </row>
    <row r="339" spans="1:12">
      <c r="A339" t="s">
        <v>455</v>
      </c>
      <c r="B339" t="s">
        <v>89</v>
      </c>
      <c r="C339" t="s">
        <v>14</v>
      </c>
      <c r="D339" s="7">
        <v>2026</v>
      </c>
      <c r="E339" s="7" t="s">
        <v>90</v>
      </c>
      <c r="F339" t="s">
        <v>91</v>
      </c>
      <c r="G339" t="s">
        <v>11</v>
      </c>
      <c r="H339" s="5">
        <v>8</v>
      </c>
      <c r="I339" s="5">
        <v>8</v>
      </c>
      <c r="J339" s="8">
        <v>605000</v>
      </c>
      <c r="K339" s="8">
        <v>595000</v>
      </c>
      <c r="L339" s="8">
        <v>580000</v>
      </c>
    </row>
    <row r="340" spans="1:12">
      <c r="A340" t="s">
        <v>456</v>
      </c>
      <c r="B340" t="s">
        <v>89</v>
      </c>
      <c r="C340" t="s">
        <v>14</v>
      </c>
      <c r="D340" s="7">
        <v>2026</v>
      </c>
      <c r="E340" s="7" t="s">
        <v>90</v>
      </c>
      <c r="F340" t="s">
        <v>91</v>
      </c>
      <c r="G340" t="s">
        <v>11</v>
      </c>
      <c r="H340" s="5">
        <v>9</v>
      </c>
      <c r="I340" s="5">
        <v>11</v>
      </c>
      <c r="J340" s="8">
        <v>625000</v>
      </c>
      <c r="K340" s="8">
        <v>615000</v>
      </c>
      <c r="L340" s="8">
        <v>580000</v>
      </c>
    </row>
    <row r="341" spans="1:12">
      <c r="A341" t="s">
        <v>457</v>
      </c>
      <c r="B341" t="s">
        <v>89</v>
      </c>
      <c r="C341" t="s">
        <v>14</v>
      </c>
      <c r="D341" s="7">
        <v>2026</v>
      </c>
      <c r="E341" s="7" t="s">
        <v>90</v>
      </c>
      <c r="F341" t="s">
        <v>91</v>
      </c>
      <c r="G341" t="s">
        <v>11</v>
      </c>
      <c r="H341" s="5">
        <v>10</v>
      </c>
      <c r="I341" s="5">
        <v>10</v>
      </c>
      <c r="J341" s="8">
        <v>630000</v>
      </c>
      <c r="K341" s="8">
        <v>615000</v>
      </c>
      <c r="L341" s="8">
        <v>580000</v>
      </c>
    </row>
    <row r="342" spans="1:12">
      <c r="A342" t="s">
        <v>458</v>
      </c>
      <c r="B342" t="s">
        <v>92</v>
      </c>
      <c r="C342" t="s">
        <v>14</v>
      </c>
      <c r="D342" s="7">
        <v>2026</v>
      </c>
      <c r="E342" s="7" t="s">
        <v>93</v>
      </c>
      <c r="F342" t="s">
        <v>94</v>
      </c>
      <c r="G342" t="s">
        <v>11</v>
      </c>
      <c r="H342" s="5">
        <v>1</v>
      </c>
      <c r="I342" s="5">
        <v>1</v>
      </c>
      <c r="J342" s="8">
        <v>750000</v>
      </c>
      <c r="K342" s="8">
        <v>740000</v>
      </c>
      <c r="L342" s="8">
        <v>725000</v>
      </c>
    </row>
    <row r="343" spans="1:12">
      <c r="A343" t="s">
        <v>459</v>
      </c>
      <c r="B343" t="s">
        <v>92</v>
      </c>
      <c r="C343" t="s">
        <v>14</v>
      </c>
      <c r="D343" s="7">
        <v>2026</v>
      </c>
      <c r="E343" s="7" t="s">
        <v>93</v>
      </c>
      <c r="F343" t="s">
        <v>94</v>
      </c>
      <c r="G343" t="s">
        <v>11</v>
      </c>
      <c r="H343" s="5">
        <v>2</v>
      </c>
      <c r="I343" s="5">
        <v>11</v>
      </c>
      <c r="J343" s="8">
        <v>710000</v>
      </c>
      <c r="K343" s="8">
        <v>700000</v>
      </c>
      <c r="L343" s="8">
        <v>725000</v>
      </c>
    </row>
    <row r="344" spans="1:12">
      <c r="A344" t="s">
        <v>460</v>
      </c>
      <c r="B344" t="s">
        <v>92</v>
      </c>
      <c r="C344" t="s">
        <v>14</v>
      </c>
      <c r="D344" s="7">
        <v>2026</v>
      </c>
      <c r="E344" s="7" t="s">
        <v>93</v>
      </c>
      <c r="F344" t="s">
        <v>94</v>
      </c>
      <c r="G344" t="s">
        <v>11</v>
      </c>
      <c r="H344" s="5">
        <v>3</v>
      </c>
      <c r="I344" s="5">
        <v>12</v>
      </c>
      <c r="J344" s="8">
        <v>730000</v>
      </c>
      <c r="K344" s="8">
        <v>720000</v>
      </c>
      <c r="L344" s="8">
        <v>725000</v>
      </c>
    </row>
    <row r="345" spans="1:12">
      <c r="A345" t="s">
        <v>461</v>
      </c>
      <c r="B345" t="s">
        <v>92</v>
      </c>
      <c r="C345" t="s">
        <v>14</v>
      </c>
      <c r="D345" s="7">
        <v>2026</v>
      </c>
      <c r="E345" s="7" t="s">
        <v>93</v>
      </c>
      <c r="F345" t="s">
        <v>94</v>
      </c>
      <c r="G345" t="s">
        <v>11</v>
      </c>
      <c r="H345" s="5">
        <v>4</v>
      </c>
      <c r="I345" s="5">
        <v>4</v>
      </c>
      <c r="J345" s="8">
        <v>755000</v>
      </c>
      <c r="K345" s="8">
        <v>745000</v>
      </c>
      <c r="L345" s="8">
        <v>725000</v>
      </c>
    </row>
    <row r="346" spans="1:12">
      <c r="A346" t="s">
        <v>462</v>
      </c>
      <c r="B346" t="s">
        <v>92</v>
      </c>
      <c r="C346" t="s">
        <v>14</v>
      </c>
      <c r="D346" s="7">
        <v>2026</v>
      </c>
      <c r="E346" s="7" t="s">
        <v>93</v>
      </c>
      <c r="F346" t="s">
        <v>94</v>
      </c>
      <c r="G346" t="s">
        <v>11</v>
      </c>
      <c r="H346" s="5">
        <v>5</v>
      </c>
      <c r="I346" s="5">
        <v>5</v>
      </c>
      <c r="J346" s="8">
        <v>750000</v>
      </c>
      <c r="K346" s="8">
        <v>730000</v>
      </c>
      <c r="L346" s="8">
        <v>725000</v>
      </c>
    </row>
    <row r="347" spans="1:12">
      <c r="A347" t="s">
        <v>463</v>
      </c>
      <c r="B347" t="s">
        <v>92</v>
      </c>
      <c r="C347" t="s">
        <v>14</v>
      </c>
      <c r="D347" s="7">
        <v>2026</v>
      </c>
      <c r="E347" s="7" t="s">
        <v>93</v>
      </c>
      <c r="F347" t="s">
        <v>94</v>
      </c>
      <c r="G347" t="s">
        <v>11</v>
      </c>
      <c r="H347" s="5">
        <v>6</v>
      </c>
      <c r="I347" s="5">
        <v>6</v>
      </c>
      <c r="J347" s="8">
        <v>715000</v>
      </c>
      <c r="K347" s="8">
        <v>705000</v>
      </c>
      <c r="L347" s="8">
        <v>725000</v>
      </c>
    </row>
    <row r="348" spans="1:12">
      <c r="A348" t="s">
        <v>464</v>
      </c>
      <c r="B348" t="s">
        <v>92</v>
      </c>
      <c r="C348" t="s">
        <v>14</v>
      </c>
      <c r="D348" s="7">
        <v>2026</v>
      </c>
      <c r="E348" s="7" t="s">
        <v>93</v>
      </c>
      <c r="F348" t="s">
        <v>94</v>
      </c>
      <c r="G348" t="s">
        <v>11</v>
      </c>
      <c r="H348" s="5">
        <v>7</v>
      </c>
      <c r="I348" s="5">
        <v>7</v>
      </c>
      <c r="J348" s="8">
        <v>735000</v>
      </c>
      <c r="K348" s="8">
        <v>730000</v>
      </c>
      <c r="L348" s="8">
        <v>725000</v>
      </c>
    </row>
    <row r="349" spans="1:12">
      <c r="A349" t="s">
        <v>465</v>
      </c>
      <c r="B349" t="s">
        <v>92</v>
      </c>
      <c r="C349" t="s">
        <v>14</v>
      </c>
      <c r="D349" s="7">
        <v>2026</v>
      </c>
      <c r="E349" s="7" t="s">
        <v>93</v>
      </c>
      <c r="F349" t="s">
        <v>94</v>
      </c>
      <c r="G349" t="s">
        <v>11</v>
      </c>
      <c r="H349" s="5">
        <v>8</v>
      </c>
      <c r="I349" s="5">
        <v>8</v>
      </c>
      <c r="J349" s="8">
        <v>735000</v>
      </c>
      <c r="K349" s="8">
        <v>725000</v>
      </c>
      <c r="L349" s="8">
        <v>725000</v>
      </c>
    </row>
    <row r="350" spans="1:12">
      <c r="A350" t="s">
        <v>466</v>
      </c>
      <c r="B350" t="s">
        <v>92</v>
      </c>
      <c r="C350" t="s">
        <v>14</v>
      </c>
      <c r="D350" s="7">
        <v>2026</v>
      </c>
      <c r="E350" s="7" t="s">
        <v>93</v>
      </c>
      <c r="F350" t="s">
        <v>94</v>
      </c>
      <c r="G350" t="s">
        <v>11</v>
      </c>
      <c r="H350" s="5">
        <v>9</v>
      </c>
      <c r="I350" s="5">
        <v>9</v>
      </c>
      <c r="J350" s="8">
        <v>720000</v>
      </c>
      <c r="K350" s="8">
        <v>710000</v>
      </c>
      <c r="L350" s="8">
        <v>725000</v>
      </c>
    </row>
    <row r="351" spans="1:12">
      <c r="A351" t="s">
        <v>467</v>
      </c>
      <c r="B351" t="s">
        <v>92</v>
      </c>
      <c r="C351" t="s">
        <v>14</v>
      </c>
      <c r="D351" s="7">
        <v>2026</v>
      </c>
      <c r="E351" s="7" t="s">
        <v>93</v>
      </c>
      <c r="F351" t="s">
        <v>94</v>
      </c>
      <c r="G351" t="s">
        <v>11</v>
      </c>
      <c r="H351" s="5">
        <v>10</v>
      </c>
      <c r="I351" s="5">
        <v>10</v>
      </c>
      <c r="J351" s="8">
        <v>730000</v>
      </c>
      <c r="K351" s="8">
        <v>725000</v>
      </c>
      <c r="L351" s="8">
        <v>725000</v>
      </c>
    </row>
    <row r="352" spans="1:12">
      <c r="A352" t="s">
        <v>468</v>
      </c>
      <c r="B352" t="s">
        <v>95</v>
      </c>
      <c r="C352" t="s">
        <v>14</v>
      </c>
      <c r="D352" s="7">
        <v>2026</v>
      </c>
      <c r="E352" s="7" t="s">
        <v>96</v>
      </c>
      <c r="F352" t="s">
        <v>97</v>
      </c>
      <c r="G352" t="s">
        <v>11</v>
      </c>
      <c r="H352" s="5">
        <v>1</v>
      </c>
      <c r="I352" s="5">
        <v>1</v>
      </c>
      <c r="J352" s="8">
        <v>595000</v>
      </c>
      <c r="K352" s="8">
        <v>585000</v>
      </c>
      <c r="L352" s="8">
        <v>600000</v>
      </c>
    </row>
    <row r="353" spans="1:12">
      <c r="A353" t="s">
        <v>469</v>
      </c>
      <c r="B353" t="s">
        <v>95</v>
      </c>
      <c r="C353" t="s">
        <v>14</v>
      </c>
      <c r="D353" s="7">
        <v>2026</v>
      </c>
      <c r="E353" s="7" t="s">
        <v>96</v>
      </c>
      <c r="F353" t="s">
        <v>97</v>
      </c>
      <c r="G353" t="s">
        <v>11</v>
      </c>
      <c r="H353" s="5">
        <v>2</v>
      </c>
      <c r="I353" s="5">
        <v>2</v>
      </c>
      <c r="J353" s="8">
        <v>615000</v>
      </c>
      <c r="K353" s="8">
        <v>610000</v>
      </c>
      <c r="L353" s="8">
        <v>600000</v>
      </c>
    </row>
    <row r="354" spans="1:12">
      <c r="A354" t="s">
        <v>470</v>
      </c>
      <c r="B354" t="s">
        <v>95</v>
      </c>
      <c r="C354" t="s">
        <v>14</v>
      </c>
      <c r="D354" s="7">
        <v>2026</v>
      </c>
      <c r="E354" s="7" t="s">
        <v>96</v>
      </c>
      <c r="F354" t="s">
        <v>97</v>
      </c>
      <c r="G354" t="s">
        <v>11</v>
      </c>
      <c r="H354" s="5">
        <v>3</v>
      </c>
      <c r="I354" s="5">
        <v>3</v>
      </c>
      <c r="J354" s="8">
        <v>625000</v>
      </c>
      <c r="K354" s="8">
        <v>610000</v>
      </c>
      <c r="L354" s="8">
        <v>600000</v>
      </c>
    </row>
    <row r="355" spans="1:12">
      <c r="A355" t="s">
        <v>471</v>
      </c>
      <c r="B355" t="s">
        <v>95</v>
      </c>
      <c r="C355" t="s">
        <v>14</v>
      </c>
      <c r="D355" s="7">
        <v>2026</v>
      </c>
      <c r="E355" s="7" t="s">
        <v>96</v>
      </c>
      <c r="F355" t="s">
        <v>97</v>
      </c>
      <c r="G355" t="s">
        <v>11</v>
      </c>
      <c r="H355" s="5">
        <v>4</v>
      </c>
      <c r="I355" s="5">
        <v>4</v>
      </c>
      <c r="J355" s="8">
        <v>610000</v>
      </c>
      <c r="K355" s="8">
        <v>600000</v>
      </c>
      <c r="L355" s="8">
        <v>600000</v>
      </c>
    </row>
    <row r="356" spans="1:12">
      <c r="A356" t="s">
        <v>472</v>
      </c>
      <c r="B356" t="s">
        <v>95</v>
      </c>
      <c r="C356" t="s">
        <v>14</v>
      </c>
      <c r="D356" s="7">
        <v>2026</v>
      </c>
      <c r="E356" s="7" t="s">
        <v>96</v>
      </c>
      <c r="F356" t="s">
        <v>97</v>
      </c>
      <c r="G356" t="s">
        <v>11</v>
      </c>
      <c r="H356" s="5">
        <v>5</v>
      </c>
      <c r="I356" s="5">
        <v>5</v>
      </c>
      <c r="J356" s="8">
        <v>645000</v>
      </c>
      <c r="K356" s="8">
        <v>615000</v>
      </c>
      <c r="L356" s="8">
        <v>600000</v>
      </c>
    </row>
    <row r="357" spans="1:12">
      <c r="A357" t="s">
        <v>473</v>
      </c>
      <c r="B357" t="s">
        <v>95</v>
      </c>
      <c r="C357" t="s">
        <v>14</v>
      </c>
      <c r="D357" s="7">
        <v>2026</v>
      </c>
      <c r="E357" s="7" t="s">
        <v>96</v>
      </c>
      <c r="F357" t="s">
        <v>97</v>
      </c>
      <c r="G357" t="s">
        <v>11</v>
      </c>
      <c r="H357" s="5">
        <v>6</v>
      </c>
      <c r="I357" s="5">
        <v>6</v>
      </c>
      <c r="J357" s="8">
        <v>625000</v>
      </c>
      <c r="K357" s="8">
        <v>610000</v>
      </c>
      <c r="L357" s="8">
        <v>600000</v>
      </c>
    </row>
    <row r="358" spans="1:12">
      <c r="A358" t="s">
        <v>474</v>
      </c>
      <c r="B358" t="s">
        <v>95</v>
      </c>
      <c r="C358" t="s">
        <v>14</v>
      </c>
      <c r="D358" s="7">
        <v>2026</v>
      </c>
      <c r="E358" s="7" t="s">
        <v>96</v>
      </c>
      <c r="F358" t="s">
        <v>97</v>
      </c>
      <c r="G358" t="s">
        <v>11</v>
      </c>
      <c r="H358" s="5">
        <v>7</v>
      </c>
      <c r="I358" s="5">
        <v>7</v>
      </c>
      <c r="J358" s="8">
        <v>615000</v>
      </c>
      <c r="K358" s="8">
        <v>600000</v>
      </c>
      <c r="L358" s="8">
        <v>600000</v>
      </c>
    </row>
    <row r="359" spans="1:12">
      <c r="A359" t="s">
        <v>475</v>
      </c>
      <c r="B359" t="s">
        <v>95</v>
      </c>
      <c r="C359" t="s">
        <v>14</v>
      </c>
      <c r="D359" s="7">
        <v>2026</v>
      </c>
      <c r="E359" s="7" t="s">
        <v>96</v>
      </c>
      <c r="F359" t="s">
        <v>97</v>
      </c>
      <c r="G359" t="s">
        <v>11</v>
      </c>
      <c r="H359" s="5">
        <v>8</v>
      </c>
      <c r="I359" s="5">
        <v>8</v>
      </c>
      <c r="J359" s="8">
        <v>615000</v>
      </c>
      <c r="K359" s="8">
        <v>610000</v>
      </c>
      <c r="L359" s="8">
        <v>600000</v>
      </c>
    </row>
    <row r="360" spans="1:12">
      <c r="A360" t="s">
        <v>476</v>
      </c>
      <c r="B360" t="s">
        <v>95</v>
      </c>
      <c r="C360" t="s">
        <v>14</v>
      </c>
      <c r="D360" s="7">
        <v>2026</v>
      </c>
      <c r="E360" s="7" t="s">
        <v>96</v>
      </c>
      <c r="F360" t="s">
        <v>97</v>
      </c>
      <c r="G360" t="s">
        <v>11</v>
      </c>
      <c r="H360" s="5">
        <v>9</v>
      </c>
      <c r="I360" s="5">
        <v>11</v>
      </c>
      <c r="J360" s="8">
        <v>625000</v>
      </c>
      <c r="K360" s="8">
        <v>610000</v>
      </c>
      <c r="L360" s="8">
        <v>600000</v>
      </c>
    </row>
    <row r="361" spans="1:12">
      <c r="A361" t="s">
        <v>477</v>
      </c>
      <c r="B361" t="s">
        <v>95</v>
      </c>
      <c r="C361" t="s">
        <v>14</v>
      </c>
      <c r="D361" s="7">
        <v>2026</v>
      </c>
      <c r="E361" s="7" t="s">
        <v>96</v>
      </c>
      <c r="F361" t="s">
        <v>97</v>
      </c>
      <c r="G361" t="s">
        <v>11</v>
      </c>
      <c r="H361" s="5">
        <v>10</v>
      </c>
      <c r="I361" s="5">
        <v>10</v>
      </c>
      <c r="J361" s="8">
        <v>605000</v>
      </c>
      <c r="K361" s="8">
        <v>600000</v>
      </c>
      <c r="L361" s="8">
        <v>600000</v>
      </c>
    </row>
    <row r="362" spans="1:12">
      <c r="A362" t="s">
        <v>478</v>
      </c>
      <c r="B362" t="s">
        <v>98</v>
      </c>
      <c r="C362" t="s">
        <v>14</v>
      </c>
      <c r="D362" s="7">
        <v>2026</v>
      </c>
      <c r="E362" s="7" t="s">
        <v>64</v>
      </c>
      <c r="F362" t="s">
        <v>65</v>
      </c>
      <c r="G362" t="s">
        <v>12</v>
      </c>
      <c r="H362" s="5">
        <v>1</v>
      </c>
      <c r="I362" s="5">
        <v>1</v>
      </c>
      <c r="J362" s="8">
        <v>655000</v>
      </c>
      <c r="K362" s="8">
        <v>640000</v>
      </c>
      <c r="L362" s="8">
        <v>650000</v>
      </c>
    </row>
    <row r="363" spans="1:12">
      <c r="A363" t="s">
        <v>479</v>
      </c>
      <c r="B363" t="s">
        <v>98</v>
      </c>
      <c r="C363" t="s">
        <v>14</v>
      </c>
      <c r="D363" s="7">
        <v>2026</v>
      </c>
      <c r="E363" s="7" t="s">
        <v>64</v>
      </c>
      <c r="F363" t="s">
        <v>65</v>
      </c>
      <c r="G363" t="s">
        <v>12</v>
      </c>
      <c r="H363" s="5">
        <v>2</v>
      </c>
      <c r="I363" s="5">
        <v>2</v>
      </c>
      <c r="J363" s="8">
        <v>665000</v>
      </c>
      <c r="K363" s="8">
        <v>635000</v>
      </c>
      <c r="L363" s="8">
        <v>650000</v>
      </c>
    </row>
    <row r="364" spans="1:12">
      <c r="A364" t="s">
        <v>480</v>
      </c>
      <c r="B364" t="s">
        <v>98</v>
      </c>
      <c r="C364" t="s">
        <v>14</v>
      </c>
      <c r="D364" s="7">
        <v>2026</v>
      </c>
      <c r="E364" s="7" t="s">
        <v>64</v>
      </c>
      <c r="F364" t="s">
        <v>65</v>
      </c>
      <c r="G364" t="s">
        <v>12</v>
      </c>
      <c r="H364" s="5">
        <v>3</v>
      </c>
      <c r="I364" s="5">
        <v>3</v>
      </c>
      <c r="J364" s="8">
        <v>650000</v>
      </c>
      <c r="K364" s="8">
        <v>640000</v>
      </c>
      <c r="L364" s="8">
        <v>650000</v>
      </c>
    </row>
    <row r="365" spans="1:12">
      <c r="A365" t="s">
        <v>481</v>
      </c>
      <c r="B365" t="s">
        <v>98</v>
      </c>
      <c r="C365" t="s">
        <v>14</v>
      </c>
      <c r="D365" s="7">
        <v>2026</v>
      </c>
      <c r="E365" s="7" t="s">
        <v>64</v>
      </c>
      <c r="F365" t="s">
        <v>65</v>
      </c>
      <c r="G365" t="s">
        <v>12</v>
      </c>
      <c r="H365" s="5">
        <v>4</v>
      </c>
      <c r="I365" s="5">
        <v>4</v>
      </c>
      <c r="J365" s="8">
        <v>650000</v>
      </c>
      <c r="K365" s="8">
        <v>640000</v>
      </c>
      <c r="L365" s="8">
        <v>650000</v>
      </c>
    </row>
    <row r="366" spans="1:12">
      <c r="A366" t="s">
        <v>482</v>
      </c>
      <c r="B366" t="s">
        <v>98</v>
      </c>
      <c r="C366" t="s">
        <v>14</v>
      </c>
      <c r="D366" s="7">
        <v>2026</v>
      </c>
      <c r="E366" s="7" t="s">
        <v>64</v>
      </c>
      <c r="F366" t="s">
        <v>65</v>
      </c>
      <c r="G366" t="s">
        <v>12</v>
      </c>
      <c r="H366" s="5">
        <v>5</v>
      </c>
      <c r="I366" s="5">
        <v>5</v>
      </c>
      <c r="J366" s="8">
        <v>650000</v>
      </c>
      <c r="K366" s="8">
        <v>635000</v>
      </c>
      <c r="L366" s="8">
        <v>650000</v>
      </c>
    </row>
    <row r="367" spans="1:12">
      <c r="A367" t="s">
        <v>483</v>
      </c>
      <c r="B367" t="s">
        <v>98</v>
      </c>
      <c r="C367" t="s">
        <v>14</v>
      </c>
      <c r="D367" s="7">
        <v>2026</v>
      </c>
      <c r="E367" s="7" t="s">
        <v>64</v>
      </c>
      <c r="F367" t="s">
        <v>65</v>
      </c>
      <c r="G367" t="s">
        <v>12</v>
      </c>
      <c r="H367" s="5">
        <v>6</v>
      </c>
      <c r="I367" s="5">
        <v>6</v>
      </c>
      <c r="J367" s="8">
        <v>655000</v>
      </c>
      <c r="K367" s="8">
        <v>640000</v>
      </c>
      <c r="L367" s="8">
        <v>650000</v>
      </c>
    </row>
    <row r="368" spans="1:12">
      <c r="A368" t="s">
        <v>484</v>
      </c>
      <c r="B368" t="s">
        <v>98</v>
      </c>
      <c r="C368" t="s">
        <v>14</v>
      </c>
      <c r="D368" s="7">
        <v>2026</v>
      </c>
      <c r="E368" s="7" t="s">
        <v>64</v>
      </c>
      <c r="F368" t="s">
        <v>65</v>
      </c>
      <c r="G368" t="s">
        <v>12</v>
      </c>
      <c r="H368" s="5">
        <v>7</v>
      </c>
      <c r="I368" s="5">
        <v>7</v>
      </c>
      <c r="J368" s="8">
        <v>665000</v>
      </c>
      <c r="K368" s="8">
        <v>640000</v>
      </c>
      <c r="L368" s="8">
        <v>650000</v>
      </c>
    </row>
    <row r="369" spans="1:12">
      <c r="A369" t="s">
        <v>485</v>
      </c>
      <c r="B369" t="s">
        <v>98</v>
      </c>
      <c r="C369" t="s">
        <v>14</v>
      </c>
      <c r="D369" s="7">
        <v>2026</v>
      </c>
      <c r="E369" s="7" t="s">
        <v>64</v>
      </c>
      <c r="F369" t="s">
        <v>65</v>
      </c>
      <c r="G369" t="s">
        <v>12</v>
      </c>
      <c r="H369" s="5">
        <v>8</v>
      </c>
      <c r="I369" s="5">
        <v>8</v>
      </c>
      <c r="J369" s="8">
        <v>650000</v>
      </c>
      <c r="K369" s="8">
        <v>640000</v>
      </c>
      <c r="L369" s="8">
        <v>650000</v>
      </c>
    </row>
    <row r="370" spans="1:12">
      <c r="A370" t="s">
        <v>486</v>
      </c>
      <c r="B370" t="s">
        <v>98</v>
      </c>
      <c r="C370" t="s">
        <v>14</v>
      </c>
      <c r="D370" s="7">
        <v>2026</v>
      </c>
      <c r="E370" s="7" t="s">
        <v>64</v>
      </c>
      <c r="F370" t="s">
        <v>65</v>
      </c>
      <c r="G370" t="s">
        <v>12</v>
      </c>
      <c r="H370" s="5">
        <v>9</v>
      </c>
      <c r="I370" s="5">
        <v>9</v>
      </c>
      <c r="J370" s="8">
        <v>650000</v>
      </c>
      <c r="K370" s="8">
        <v>640000</v>
      </c>
      <c r="L370" s="8">
        <v>650000</v>
      </c>
    </row>
    <row r="371" spans="1:12">
      <c r="A371" t="s">
        <v>487</v>
      </c>
      <c r="B371" t="s">
        <v>98</v>
      </c>
      <c r="C371" t="s">
        <v>14</v>
      </c>
      <c r="D371" s="7">
        <v>2026</v>
      </c>
      <c r="E371" s="7" t="s">
        <v>64</v>
      </c>
      <c r="F371" t="s">
        <v>65</v>
      </c>
      <c r="G371" t="s">
        <v>12</v>
      </c>
      <c r="H371" s="5">
        <v>10</v>
      </c>
      <c r="I371" s="5">
        <v>10</v>
      </c>
      <c r="J371" s="8">
        <v>650000</v>
      </c>
      <c r="K371" s="8">
        <v>640000</v>
      </c>
      <c r="L371" s="8">
        <v>650000</v>
      </c>
    </row>
    <row r="372" spans="1:12">
      <c r="A372" t="s">
        <v>488</v>
      </c>
      <c r="B372" t="s">
        <v>99</v>
      </c>
      <c r="C372" t="s">
        <v>14</v>
      </c>
      <c r="D372" s="7">
        <v>2026</v>
      </c>
      <c r="E372" s="7" t="s">
        <v>75</v>
      </c>
      <c r="F372" t="s">
        <v>76</v>
      </c>
      <c r="G372" t="s">
        <v>12</v>
      </c>
      <c r="H372" s="5">
        <v>1</v>
      </c>
      <c r="I372" s="5">
        <v>1</v>
      </c>
      <c r="J372" s="8">
        <v>675000</v>
      </c>
      <c r="K372" s="8">
        <v>670000</v>
      </c>
      <c r="L372" s="8">
        <v>670000</v>
      </c>
    </row>
    <row r="373" spans="1:12">
      <c r="A373" t="s">
        <v>489</v>
      </c>
      <c r="B373" t="s">
        <v>99</v>
      </c>
      <c r="C373" t="s">
        <v>14</v>
      </c>
      <c r="D373" s="7">
        <v>2026</v>
      </c>
      <c r="E373" s="7" t="s">
        <v>75</v>
      </c>
      <c r="F373" t="s">
        <v>76</v>
      </c>
      <c r="G373" t="s">
        <v>12</v>
      </c>
      <c r="H373" s="5">
        <v>2</v>
      </c>
      <c r="I373" s="5">
        <v>2</v>
      </c>
      <c r="J373" s="8">
        <v>665000</v>
      </c>
      <c r="K373" s="8">
        <v>670000</v>
      </c>
      <c r="L373" s="8">
        <v>670000</v>
      </c>
    </row>
    <row r="374" spans="1:12">
      <c r="A374" t="s">
        <v>490</v>
      </c>
      <c r="B374" t="s">
        <v>99</v>
      </c>
      <c r="C374" t="s">
        <v>14</v>
      </c>
      <c r="D374" s="7">
        <v>2026</v>
      </c>
      <c r="E374" s="7" t="s">
        <v>75</v>
      </c>
      <c r="F374" t="s">
        <v>76</v>
      </c>
      <c r="G374" t="s">
        <v>12</v>
      </c>
      <c r="H374" s="5">
        <v>3</v>
      </c>
      <c r="I374" s="5">
        <v>3</v>
      </c>
      <c r="J374" s="8">
        <v>680000</v>
      </c>
      <c r="K374" s="8">
        <v>675000</v>
      </c>
      <c r="L374" s="8">
        <v>670000</v>
      </c>
    </row>
    <row r="375" spans="1:12">
      <c r="A375" t="s">
        <v>491</v>
      </c>
      <c r="B375" t="s">
        <v>99</v>
      </c>
      <c r="C375" t="s">
        <v>14</v>
      </c>
      <c r="D375" s="7">
        <v>2026</v>
      </c>
      <c r="E375" s="7" t="s">
        <v>75</v>
      </c>
      <c r="F375" t="s">
        <v>76</v>
      </c>
      <c r="G375" t="s">
        <v>12</v>
      </c>
      <c r="H375" s="5">
        <v>4</v>
      </c>
      <c r="I375" s="5">
        <v>4</v>
      </c>
      <c r="J375" s="8">
        <v>655000</v>
      </c>
      <c r="K375" s="8">
        <v>665000</v>
      </c>
      <c r="L375" s="8">
        <v>670000</v>
      </c>
    </row>
    <row r="376" spans="1:12">
      <c r="A376" t="s">
        <v>492</v>
      </c>
      <c r="B376" t="s">
        <v>99</v>
      </c>
      <c r="C376" t="s">
        <v>14</v>
      </c>
      <c r="D376" s="7">
        <v>2026</v>
      </c>
      <c r="E376" s="7" t="s">
        <v>75</v>
      </c>
      <c r="F376" t="s">
        <v>76</v>
      </c>
      <c r="G376" t="s">
        <v>12</v>
      </c>
      <c r="H376" s="5">
        <v>5</v>
      </c>
      <c r="I376" s="5">
        <v>5</v>
      </c>
      <c r="J376" s="8">
        <v>670000</v>
      </c>
      <c r="K376" s="8">
        <v>675000</v>
      </c>
      <c r="L376" s="8">
        <v>670000</v>
      </c>
    </row>
    <row r="377" spans="1:12">
      <c r="A377" t="s">
        <v>493</v>
      </c>
      <c r="B377" t="s">
        <v>99</v>
      </c>
      <c r="C377" t="s">
        <v>14</v>
      </c>
      <c r="D377" s="7">
        <v>2026</v>
      </c>
      <c r="E377" s="7" t="s">
        <v>75</v>
      </c>
      <c r="F377" t="s">
        <v>76</v>
      </c>
      <c r="G377" t="s">
        <v>12</v>
      </c>
      <c r="H377" s="5">
        <v>6</v>
      </c>
      <c r="I377" s="5">
        <v>6</v>
      </c>
      <c r="J377" s="8">
        <v>690000</v>
      </c>
      <c r="K377" s="8">
        <v>680000</v>
      </c>
      <c r="L377" s="8">
        <v>670000</v>
      </c>
    </row>
    <row r="378" spans="1:12">
      <c r="A378" t="s">
        <v>494</v>
      </c>
      <c r="B378" t="s">
        <v>99</v>
      </c>
      <c r="C378" t="s">
        <v>14</v>
      </c>
      <c r="D378" s="7">
        <v>2026</v>
      </c>
      <c r="E378" s="7" t="s">
        <v>75</v>
      </c>
      <c r="F378" t="s">
        <v>76</v>
      </c>
      <c r="G378" t="s">
        <v>12</v>
      </c>
      <c r="H378" s="5">
        <v>7</v>
      </c>
      <c r="I378" s="5">
        <v>7</v>
      </c>
      <c r="J378" s="8">
        <v>690000</v>
      </c>
      <c r="K378" s="8">
        <v>680000</v>
      </c>
      <c r="L378" s="8">
        <v>670000</v>
      </c>
    </row>
    <row r="379" spans="1:12">
      <c r="A379" t="s">
        <v>495</v>
      </c>
      <c r="B379" t="s">
        <v>99</v>
      </c>
      <c r="C379" t="s">
        <v>14</v>
      </c>
      <c r="D379" s="7">
        <v>2026</v>
      </c>
      <c r="E379" s="7" t="s">
        <v>75</v>
      </c>
      <c r="F379" t="s">
        <v>76</v>
      </c>
      <c r="G379" t="s">
        <v>12</v>
      </c>
      <c r="H379" s="5">
        <v>8</v>
      </c>
      <c r="I379" s="5">
        <v>8</v>
      </c>
      <c r="J379" s="8">
        <v>670000</v>
      </c>
      <c r="K379" s="8">
        <v>675000</v>
      </c>
      <c r="L379" s="8">
        <v>670000</v>
      </c>
    </row>
    <row r="380" spans="1:12">
      <c r="A380" t="s">
        <v>496</v>
      </c>
      <c r="B380" t="s">
        <v>99</v>
      </c>
      <c r="C380" t="s">
        <v>14</v>
      </c>
      <c r="D380" s="7">
        <v>2026</v>
      </c>
      <c r="E380" s="7" t="s">
        <v>75</v>
      </c>
      <c r="F380" t="s">
        <v>76</v>
      </c>
      <c r="G380" t="s">
        <v>12</v>
      </c>
      <c r="H380" s="5">
        <v>9</v>
      </c>
      <c r="I380" s="5">
        <v>9</v>
      </c>
      <c r="J380" s="8">
        <v>675000</v>
      </c>
      <c r="K380" s="8">
        <v>670000</v>
      </c>
      <c r="L380" s="8">
        <v>670000</v>
      </c>
    </row>
    <row r="381" spans="1:12">
      <c r="A381" t="s">
        <v>497</v>
      </c>
      <c r="B381" t="s">
        <v>99</v>
      </c>
      <c r="C381" t="s">
        <v>14</v>
      </c>
      <c r="D381" s="7">
        <v>2026</v>
      </c>
      <c r="E381" s="7" t="s">
        <v>75</v>
      </c>
      <c r="F381" t="s">
        <v>76</v>
      </c>
      <c r="G381" t="s">
        <v>12</v>
      </c>
      <c r="H381" s="5">
        <v>10</v>
      </c>
      <c r="I381" s="5">
        <v>10</v>
      </c>
      <c r="J381" s="8">
        <v>675000</v>
      </c>
      <c r="K381" s="8">
        <v>670000</v>
      </c>
      <c r="L381" s="8">
        <v>670000</v>
      </c>
    </row>
    <row r="382" spans="1:12">
      <c r="A382" t="s">
        <v>498</v>
      </c>
      <c r="B382" t="s">
        <v>100</v>
      </c>
      <c r="C382" t="s">
        <v>14</v>
      </c>
      <c r="D382" s="7">
        <v>2026</v>
      </c>
      <c r="E382" s="7" t="s">
        <v>78</v>
      </c>
      <c r="F382" t="s">
        <v>79</v>
      </c>
      <c r="G382" t="s">
        <v>12</v>
      </c>
      <c r="H382" s="5">
        <v>1</v>
      </c>
      <c r="I382" s="5">
        <v>1</v>
      </c>
      <c r="J382" s="8">
        <v>850000</v>
      </c>
      <c r="K382" s="8">
        <v>785000</v>
      </c>
      <c r="L382" s="8">
        <v>790000</v>
      </c>
    </row>
    <row r="383" spans="1:12">
      <c r="A383" t="s">
        <v>499</v>
      </c>
      <c r="B383" t="s">
        <v>100</v>
      </c>
      <c r="C383" t="s">
        <v>14</v>
      </c>
      <c r="D383" s="7">
        <v>2026</v>
      </c>
      <c r="E383" s="7" t="s">
        <v>78</v>
      </c>
      <c r="F383" t="s">
        <v>79</v>
      </c>
      <c r="G383" t="s">
        <v>12</v>
      </c>
      <c r="H383" s="5">
        <v>2</v>
      </c>
      <c r="I383" s="5">
        <v>2</v>
      </c>
      <c r="J383" s="8">
        <v>865000</v>
      </c>
      <c r="K383" s="8">
        <v>780000</v>
      </c>
      <c r="L383" s="8">
        <v>790000</v>
      </c>
    </row>
    <row r="384" spans="1:12">
      <c r="A384" t="s">
        <v>500</v>
      </c>
      <c r="B384" t="s">
        <v>100</v>
      </c>
      <c r="C384" t="s">
        <v>14</v>
      </c>
      <c r="D384" s="7">
        <v>2026</v>
      </c>
      <c r="E384" s="7" t="s">
        <v>78</v>
      </c>
      <c r="F384" t="s">
        <v>79</v>
      </c>
      <c r="G384" t="s">
        <v>12</v>
      </c>
      <c r="H384" s="5">
        <v>3</v>
      </c>
      <c r="I384" s="5">
        <v>3</v>
      </c>
      <c r="J384" s="8">
        <v>825000</v>
      </c>
      <c r="K384" s="8">
        <v>775000</v>
      </c>
      <c r="L384" s="8">
        <v>790000</v>
      </c>
    </row>
    <row r="385" spans="1:12">
      <c r="A385" t="s">
        <v>501</v>
      </c>
      <c r="B385" t="s">
        <v>100</v>
      </c>
      <c r="C385" t="s">
        <v>14</v>
      </c>
      <c r="D385" s="7">
        <v>2026</v>
      </c>
      <c r="E385" s="7" t="s">
        <v>78</v>
      </c>
      <c r="F385" t="s">
        <v>79</v>
      </c>
      <c r="G385" t="s">
        <v>12</v>
      </c>
      <c r="H385" s="5">
        <v>4</v>
      </c>
      <c r="I385" s="5">
        <v>4</v>
      </c>
      <c r="J385" s="8">
        <v>835000</v>
      </c>
      <c r="K385" s="8">
        <v>785000</v>
      </c>
      <c r="L385" s="8">
        <v>790000</v>
      </c>
    </row>
    <row r="386" spans="1:12">
      <c r="A386" t="s">
        <v>502</v>
      </c>
      <c r="B386" t="s">
        <v>100</v>
      </c>
      <c r="C386" t="s">
        <v>14</v>
      </c>
      <c r="D386" s="7">
        <v>2026</v>
      </c>
      <c r="E386" s="7" t="s">
        <v>78</v>
      </c>
      <c r="F386" t="s">
        <v>79</v>
      </c>
      <c r="G386" t="s">
        <v>12</v>
      </c>
      <c r="H386" s="5">
        <v>5</v>
      </c>
      <c r="I386" s="5">
        <v>11</v>
      </c>
      <c r="J386" s="8">
        <v>835000</v>
      </c>
      <c r="K386" s="8">
        <v>785000</v>
      </c>
      <c r="L386" s="8">
        <v>790000</v>
      </c>
    </row>
    <row r="387" spans="1:12">
      <c r="A387" t="s">
        <v>503</v>
      </c>
      <c r="B387" t="s">
        <v>100</v>
      </c>
      <c r="C387" t="s">
        <v>14</v>
      </c>
      <c r="D387" s="7">
        <v>2026</v>
      </c>
      <c r="E387" s="7" t="s">
        <v>78</v>
      </c>
      <c r="F387" t="s">
        <v>79</v>
      </c>
      <c r="G387" t="s">
        <v>12</v>
      </c>
      <c r="H387" s="5">
        <v>6</v>
      </c>
      <c r="I387" s="5">
        <v>6</v>
      </c>
      <c r="J387" s="8">
        <v>850000</v>
      </c>
      <c r="K387" s="8">
        <v>780000</v>
      </c>
      <c r="L387" s="8">
        <v>790000</v>
      </c>
    </row>
    <row r="388" spans="1:12">
      <c r="A388" t="s">
        <v>504</v>
      </c>
      <c r="B388" t="s">
        <v>100</v>
      </c>
      <c r="C388" t="s">
        <v>14</v>
      </c>
      <c r="D388" s="7">
        <v>2026</v>
      </c>
      <c r="E388" s="7" t="s">
        <v>78</v>
      </c>
      <c r="F388" t="s">
        <v>79</v>
      </c>
      <c r="G388" t="s">
        <v>12</v>
      </c>
      <c r="H388" s="5">
        <v>7</v>
      </c>
      <c r="I388" s="5">
        <v>7</v>
      </c>
      <c r="J388" s="8">
        <v>845000</v>
      </c>
      <c r="K388" s="8">
        <v>790000</v>
      </c>
      <c r="L388" s="8">
        <v>790000</v>
      </c>
    </row>
    <row r="389" spans="1:12">
      <c r="A389" t="s">
        <v>505</v>
      </c>
      <c r="B389" t="s">
        <v>100</v>
      </c>
      <c r="C389" t="s">
        <v>14</v>
      </c>
      <c r="D389" s="7">
        <v>2026</v>
      </c>
      <c r="E389" s="7" t="s">
        <v>78</v>
      </c>
      <c r="F389" t="s">
        <v>79</v>
      </c>
      <c r="G389" t="s">
        <v>12</v>
      </c>
      <c r="H389" s="5">
        <v>8</v>
      </c>
      <c r="I389" s="5">
        <v>8</v>
      </c>
      <c r="J389" s="8">
        <v>790000</v>
      </c>
      <c r="K389" s="8">
        <v>775000</v>
      </c>
      <c r="L389" s="8">
        <v>790000</v>
      </c>
    </row>
    <row r="390" spans="1:12">
      <c r="A390" t="s">
        <v>506</v>
      </c>
      <c r="B390" t="s">
        <v>100</v>
      </c>
      <c r="C390" t="s">
        <v>14</v>
      </c>
      <c r="D390" s="7">
        <v>2026</v>
      </c>
      <c r="E390" s="7" t="s">
        <v>78</v>
      </c>
      <c r="F390" t="s">
        <v>79</v>
      </c>
      <c r="G390" t="s">
        <v>12</v>
      </c>
      <c r="H390" s="5">
        <v>9</v>
      </c>
      <c r="I390" s="5">
        <v>9</v>
      </c>
      <c r="J390" s="8">
        <v>835000</v>
      </c>
      <c r="K390" s="8">
        <v>780000</v>
      </c>
      <c r="L390" s="8">
        <v>790000</v>
      </c>
    </row>
    <row r="391" spans="1:12">
      <c r="A391" t="s">
        <v>507</v>
      </c>
      <c r="B391" t="s">
        <v>100</v>
      </c>
      <c r="C391" t="s">
        <v>14</v>
      </c>
      <c r="D391" s="7">
        <v>2026</v>
      </c>
      <c r="E391" s="7" t="s">
        <v>78</v>
      </c>
      <c r="F391" t="s">
        <v>79</v>
      </c>
      <c r="G391" t="s">
        <v>12</v>
      </c>
      <c r="H391" s="5">
        <v>10</v>
      </c>
      <c r="I391" s="5">
        <v>10</v>
      </c>
      <c r="J391" s="8">
        <v>800000</v>
      </c>
      <c r="K391" s="8">
        <v>775000</v>
      </c>
      <c r="L391" s="8">
        <v>790000</v>
      </c>
    </row>
    <row r="392" spans="1:12">
      <c r="A392" t="s">
        <v>508</v>
      </c>
      <c r="B392" t="s">
        <v>101</v>
      </c>
      <c r="C392" t="s">
        <v>14</v>
      </c>
      <c r="D392" s="7">
        <v>2026</v>
      </c>
      <c r="E392" s="7" t="s">
        <v>81</v>
      </c>
      <c r="F392" t="s">
        <v>82</v>
      </c>
      <c r="G392" t="s">
        <v>12</v>
      </c>
      <c r="H392" s="5">
        <v>1</v>
      </c>
      <c r="I392" s="5">
        <v>1</v>
      </c>
      <c r="J392" s="8">
        <v>750000</v>
      </c>
      <c r="K392" s="8">
        <v>745000</v>
      </c>
      <c r="L392" s="8">
        <v>749900</v>
      </c>
    </row>
    <row r="393" spans="1:12">
      <c r="A393" t="s">
        <v>509</v>
      </c>
      <c r="B393" t="s">
        <v>101</v>
      </c>
      <c r="C393" t="s">
        <v>14</v>
      </c>
      <c r="D393" s="7">
        <v>2026</v>
      </c>
      <c r="E393" s="7" t="s">
        <v>81</v>
      </c>
      <c r="F393" t="s">
        <v>82</v>
      </c>
      <c r="G393" t="s">
        <v>12</v>
      </c>
      <c r="H393" s="5">
        <v>2</v>
      </c>
      <c r="I393" s="5">
        <v>2</v>
      </c>
      <c r="J393" s="8">
        <v>735000</v>
      </c>
      <c r="K393" s="8">
        <v>745000</v>
      </c>
      <c r="L393" s="8">
        <v>749900</v>
      </c>
    </row>
    <row r="394" spans="1:12">
      <c r="A394" t="s">
        <v>510</v>
      </c>
      <c r="B394" t="s">
        <v>101</v>
      </c>
      <c r="C394" t="s">
        <v>14</v>
      </c>
      <c r="D394" s="7">
        <v>2026</v>
      </c>
      <c r="E394" s="7" t="s">
        <v>81</v>
      </c>
      <c r="F394" t="s">
        <v>82</v>
      </c>
      <c r="G394" t="s">
        <v>12</v>
      </c>
      <c r="H394" s="5">
        <v>3</v>
      </c>
      <c r="I394" s="5">
        <v>3</v>
      </c>
      <c r="J394" s="8">
        <v>740000</v>
      </c>
      <c r="K394" s="8">
        <v>745000</v>
      </c>
      <c r="L394" s="8">
        <v>749900</v>
      </c>
    </row>
    <row r="395" spans="1:12">
      <c r="A395" t="s">
        <v>511</v>
      </c>
      <c r="B395" t="s">
        <v>101</v>
      </c>
      <c r="C395" t="s">
        <v>14</v>
      </c>
      <c r="D395" s="7">
        <v>2026</v>
      </c>
      <c r="E395" s="7" t="s">
        <v>81</v>
      </c>
      <c r="F395" t="s">
        <v>82</v>
      </c>
      <c r="G395" t="s">
        <v>12</v>
      </c>
      <c r="H395" s="5">
        <v>4</v>
      </c>
      <c r="I395" s="5">
        <v>4</v>
      </c>
      <c r="J395" s="8">
        <v>780000</v>
      </c>
      <c r="K395" s="8">
        <v>750000</v>
      </c>
      <c r="L395" s="8">
        <v>749900</v>
      </c>
    </row>
    <row r="396" spans="1:12">
      <c r="A396" t="s">
        <v>512</v>
      </c>
      <c r="B396" t="s">
        <v>101</v>
      </c>
      <c r="C396" t="s">
        <v>14</v>
      </c>
      <c r="D396" s="7">
        <v>2026</v>
      </c>
      <c r="E396" s="7" t="s">
        <v>81</v>
      </c>
      <c r="F396" t="s">
        <v>82</v>
      </c>
      <c r="G396" t="s">
        <v>12</v>
      </c>
      <c r="H396" s="5">
        <v>5</v>
      </c>
      <c r="I396" s="5">
        <v>11</v>
      </c>
      <c r="J396" s="8">
        <v>760000</v>
      </c>
      <c r="K396" s="8">
        <v>750000</v>
      </c>
      <c r="L396" s="8">
        <v>749900</v>
      </c>
    </row>
    <row r="397" spans="1:12">
      <c r="A397" t="s">
        <v>513</v>
      </c>
      <c r="B397" t="s">
        <v>101</v>
      </c>
      <c r="C397" t="s">
        <v>14</v>
      </c>
      <c r="D397" s="7">
        <v>2026</v>
      </c>
      <c r="E397" s="7" t="s">
        <v>81</v>
      </c>
      <c r="F397" t="s">
        <v>82</v>
      </c>
      <c r="G397" t="s">
        <v>12</v>
      </c>
      <c r="H397" s="5">
        <v>6</v>
      </c>
      <c r="I397" s="5">
        <v>6</v>
      </c>
      <c r="J397" s="8">
        <v>750000</v>
      </c>
      <c r="K397" s="8">
        <v>742500</v>
      </c>
      <c r="L397" s="8">
        <v>749900</v>
      </c>
    </row>
    <row r="398" spans="1:12">
      <c r="A398" t="s">
        <v>514</v>
      </c>
      <c r="B398" t="s">
        <v>101</v>
      </c>
      <c r="C398" t="s">
        <v>14</v>
      </c>
      <c r="D398" s="7">
        <v>2026</v>
      </c>
      <c r="E398" s="7" t="s">
        <v>81</v>
      </c>
      <c r="F398" t="s">
        <v>82</v>
      </c>
      <c r="G398" t="s">
        <v>12</v>
      </c>
      <c r="H398" s="5">
        <v>7</v>
      </c>
      <c r="I398" s="5">
        <v>7</v>
      </c>
      <c r="J398" s="8">
        <v>755000</v>
      </c>
      <c r="K398" s="8">
        <v>745000</v>
      </c>
      <c r="L398" s="8">
        <v>749900</v>
      </c>
    </row>
    <row r="399" spans="1:12">
      <c r="A399" t="s">
        <v>515</v>
      </c>
      <c r="B399" t="s">
        <v>101</v>
      </c>
      <c r="C399" t="s">
        <v>14</v>
      </c>
      <c r="D399" s="7">
        <v>2026</v>
      </c>
      <c r="E399" s="7" t="s">
        <v>81</v>
      </c>
      <c r="F399" t="s">
        <v>82</v>
      </c>
      <c r="G399" t="s">
        <v>12</v>
      </c>
      <c r="H399" s="5">
        <v>8</v>
      </c>
      <c r="I399" s="5">
        <v>8</v>
      </c>
      <c r="J399" s="8">
        <v>780000</v>
      </c>
      <c r="K399" s="8">
        <v>765000</v>
      </c>
      <c r="L399" s="8">
        <v>749900</v>
      </c>
    </row>
    <row r="400" spans="1:12">
      <c r="A400" t="s">
        <v>516</v>
      </c>
      <c r="B400" t="s">
        <v>101</v>
      </c>
      <c r="C400" t="s">
        <v>14</v>
      </c>
      <c r="D400" s="7">
        <v>2026</v>
      </c>
      <c r="E400" s="7" t="s">
        <v>81</v>
      </c>
      <c r="F400" t="s">
        <v>82</v>
      </c>
      <c r="G400" t="s">
        <v>12</v>
      </c>
      <c r="H400" s="5">
        <v>9</v>
      </c>
      <c r="I400" s="5">
        <v>9</v>
      </c>
      <c r="J400" s="8">
        <v>760000</v>
      </c>
      <c r="K400" s="8">
        <v>750000</v>
      </c>
      <c r="L400" s="8">
        <v>749900</v>
      </c>
    </row>
    <row r="401" spans="1:12">
      <c r="A401" t="s">
        <v>517</v>
      </c>
      <c r="B401" t="s">
        <v>101</v>
      </c>
      <c r="C401" t="s">
        <v>14</v>
      </c>
      <c r="D401" s="7">
        <v>2026</v>
      </c>
      <c r="E401" s="7" t="s">
        <v>81</v>
      </c>
      <c r="F401" t="s">
        <v>82</v>
      </c>
      <c r="G401" t="s">
        <v>12</v>
      </c>
      <c r="H401" s="5">
        <v>10</v>
      </c>
      <c r="I401" s="5">
        <v>10</v>
      </c>
      <c r="J401" s="8">
        <v>755000</v>
      </c>
      <c r="K401" s="8">
        <v>750000</v>
      </c>
      <c r="L401" s="8">
        <v>749900</v>
      </c>
    </row>
    <row r="402" spans="1:12">
      <c r="A402" t="s">
        <v>518</v>
      </c>
      <c r="B402" t="s">
        <v>102</v>
      </c>
      <c r="C402" t="s">
        <v>14</v>
      </c>
      <c r="D402" s="7">
        <v>2026</v>
      </c>
      <c r="E402" s="7" t="s">
        <v>84</v>
      </c>
      <c r="F402" t="s">
        <v>85</v>
      </c>
      <c r="G402" t="s">
        <v>12</v>
      </c>
      <c r="H402" s="5">
        <v>1</v>
      </c>
      <c r="I402" s="5">
        <v>1</v>
      </c>
      <c r="J402" s="8">
        <v>655000</v>
      </c>
      <c r="K402" s="8">
        <v>645000</v>
      </c>
      <c r="L402" s="8">
        <v>635000</v>
      </c>
    </row>
    <row r="403" spans="1:12">
      <c r="A403" t="s">
        <v>519</v>
      </c>
      <c r="B403" t="s">
        <v>102</v>
      </c>
      <c r="C403" t="s">
        <v>14</v>
      </c>
      <c r="D403" s="7">
        <v>2026</v>
      </c>
      <c r="E403" s="7" t="s">
        <v>84</v>
      </c>
      <c r="F403" t="s">
        <v>85</v>
      </c>
      <c r="G403" t="s">
        <v>12</v>
      </c>
      <c r="H403" s="5">
        <v>2</v>
      </c>
      <c r="I403" s="5">
        <v>2</v>
      </c>
      <c r="J403" s="8">
        <v>665000</v>
      </c>
      <c r="K403" s="8">
        <v>635000</v>
      </c>
      <c r="L403" s="8">
        <v>635000</v>
      </c>
    </row>
    <row r="404" spans="1:12">
      <c r="A404" t="s">
        <v>520</v>
      </c>
      <c r="B404" t="s">
        <v>102</v>
      </c>
      <c r="C404" t="s">
        <v>14</v>
      </c>
      <c r="D404" s="7">
        <v>2026</v>
      </c>
      <c r="E404" s="7" t="s">
        <v>84</v>
      </c>
      <c r="F404" t="s">
        <v>85</v>
      </c>
      <c r="G404" t="s">
        <v>12</v>
      </c>
      <c r="H404" s="5">
        <v>3</v>
      </c>
      <c r="I404" s="5">
        <v>3</v>
      </c>
      <c r="J404" s="8">
        <v>650000</v>
      </c>
      <c r="K404" s="8">
        <v>640000</v>
      </c>
      <c r="L404" s="8">
        <v>635000</v>
      </c>
    </row>
    <row r="405" spans="1:12">
      <c r="A405" t="s">
        <v>521</v>
      </c>
      <c r="B405" t="s">
        <v>102</v>
      </c>
      <c r="C405" t="s">
        <v>14</v>
      </c>
      <c r="D405" s="7">
        <v>2026</v>
      </c>
      <c r="E405" s="7" t="s">
        <v>84</v>
      </c>
      <c r="F405" t="s">
        <v>85</v>
      </c>
      <c r="G405" t="s">
        <v>12</v>
      </c>
      <c r="H405" s="5">
        <v>4</v>
      </c>
      <c r="I405" s="5">
        <v>4</v>
      </c>
      <c r="J405" s="8">
        <v>665000</v>
      </c>
      <c r="K405" s="8">
        <v>640000</v>
      </c>
      <c r="L405" s="8">
        <v>635000</v>
      </c>
    </row>
    <row r="406" spans="1:12">
      <c r="A406" t="s">
        <v>522</v>
      </c>
      <c r="B406" t="s">
        <v>102</v>
      </c>
      <c r="C406" t="s">
        <v>14</v>
      </c>
      <c r="D406" s="7">
        <v>2026</v>
      </c>
      <c r="E406" s="7" t="s">
        <v>84</v>
      </c>
      <c r="F406" t="s">
        <v>85</v>
      </c>
      <c r="G406" t="s">
        <v>12</v>
      </c>
      <c r="H406" s="5">
        <v>5</v>
      </c>
      <c r="I406" s="5">
        <v>5</v>
      </c>
      <c r="J406" s="8">
        <v>665000</v>
      </c>
      <c r="K406" s="8">
        <v>640000</v>
      </c>
      <c r="L406" s="8">
        <v>635000</v>
      </c>
    </row>
    <row r="407" spans="1:12">
      <c r="A407" t="s">
        <v>523</v>
      </c>
      <c r="B407" t="s">
        <v>102</v>
      </c>
      <c r="C407" t="s">
        <v>14</v>
      </c>
      <c r="D407" s="7">
        <v>2026</v>
      </c>
      <c r="E407" s="7" t="s">
        <v>84</v>
      </c>
      <c r="F407" t="s">
        <v>85</v>
      </c>
      <c r="G407" t="s">
        <v>12</v>
      </c>
      <c r="H407" s="5">
        <v>6</v>
      </c>
      <c r="I407" s="5">
        <v>6</v>
      </c>
      <c r="J407" s="8">
        <v>670000</v>
      </c>
      <c r="K407" s="8">
        <v>640000</v>
      </c>
      <c r="L407" s="8">
        <v>635000</v>
      </c>
    </row>
    <row r="408" spans="1:12">
      <c r="A408" t="s">
        <v>524</v>
      </c>
      <c r="B408" t="s">
        <v>102</v>
      </c>
      <c r="C408" t="s">
        <v>14</v>
      </c>
      <c r="D408" s="7">
        <v>2026</v>
      </c>
      <c r="E408" s="7" t="s">
        <v>84</v>
      </c>
      <c r="F408" t="s">
        <v>85</v>
      </c>
      <c r="G408" t="s">
        <v>12</v>
      </c>
      <c r="H408" s="5">
        <v>7</v>
      </c>
      <c r="I408" s="5">
        <v>7</v>
      </c>
      <c r="J408" s="8">
        <v>650000</v>
      </c>
      <c r="K408" s="8">
        <v>640000</v>
      </c>
      <c r="L408" s="8">
        <v>635000</v>
      </c>
    </row>
    <row r="409" spans="1:12">
      <c r="A409" t="s">
        <v>525</v>
      </c>
      <c r="B409" t="s">
        <v>102</v>
      </c>
      <c r="C409" t="s">
        <v>14</v>
      </c>
      <c r="D409" s="7">
        <v>2026</v>
      </c>
      <c r="E409" s="7" t="s">
        <v>84</v>
      </c>
      <c r="F409" t="s">
        <v>85</v>
      </c>
      <c r="G409" t="s">
        <v>12</v>
      </c>
      <c r="H409" s="5">
        <v>8</v>
      </c>
      <c r="I409" s="5">
        <v>8</v>
      </c>
      <c r="J409" s="8">
        <v>660000</v>
      </c>
      <c r="K409" s="8">
        <v>650000</v>
      </c>
      <c r="L409" s="8">
        <v>635000</v>
      </c>
    </row>
    <row r="410" spans="1:12">
      <c r="A410" t="s">
        <v>526</v>
      </c>
      <c r="B410" t="s">
        <v>102</v>
      </c>
      <c r="C410" t="s">
        <v>14</v>
      </c>
      <c r="D410" s="7">
        <v>2026</v>
      </c>
      <c r="E410" s="7" t="s">
        <v>84</v>
      </c>
      <c r="F410" t="s">
        <v>85</v>
      </c>
      <c r="G410" t="s">
        <v>12</v>
      </c>
      <c r="H410" s="5">
        <v>9</v>
      </c>
      <c r="I410" s="5">
        <v>9</v>
      </c>
      <c r="J410" s="8">
        <v>660000</v>
      </c>
      <c r="K410" s="8">
        <v>642000</v>
      </c>
      <c r="L410" s="8">
        <v>635000</v>
      </c>
    </row>
    <row r="411" spans="1:12">
      <c r="A411" t="s">
        <v>527</v>
      </c>
      <c r="B411" t="s">
        <v>102</v>
      </c>
      <c r="C411" t="s">
        <v>14</v>
      </c>
      <c r="D411" s="7">
        <v>2026</v>
      </c>
      <c r="E411" s="7" t="s">
        <v>84</v>
      </c>
      <c r="F411" t="s">
        <v>85</v>
      </c>
      <c r="G411" t="s">
        <v>12</v>
      </c>
      <c r="H411" s="5">
        <v>10</v>
      </c>
      <c r="I411" s="5">
        <v>10</v>
      </c>
      <c r="J411" s="8">
        <v>665000</v>
      </c>
      <c r="K411" s="8">
        <v>645000</v>
      </c>
      <c r="L411" s="8">
        <v>635000</v>
      </c>
    </row>
    <row r="412" spans="1:12">
      <c r="A412" t="s">
        <v>528</v>
      </c>
      <c r="B412" t="s">
        <v>103</v>
      </c>
      <c r="C412" t="s">
        <v>14</v>
      </c>
      <c r="D412" s="7">
        <v>2026</v>
      </c>
      <c r="E412" s="7" t="s">
        <v>87</v>
      </c>
      <c r="F412" t="s">
        <v>88</v>
      </c>
      <c r="G412" t="s">
        <v>12</v>
      </c>
      <c r="H412" s="5">
        <v>1</v>
      </c>
      <c r="I412" s="5">
        <v>1</v>
      </c>
      <c r="J412" s="8">
        <v>655000</v>
      </c>
      <c r="K412" s="8">
        <v>645000</v>
      </c>
      <c r="L412" s="8">
        <v>650000</v>
      </c>
    </row>
    <row r="413" spans="1:12">
      <c r="A413" t="s">
        <v>529</v>
      </c>
      <c r="B413" t="s">
        <v>103</v>
      </c>
      <c r="C413" t="s">
        <v>14</v>
      </c>
      <c r="D413" s="7">
        <v>2026</v>
      </c>
      <c r="E413" s="7" t="s">
        <v>87</v>
      </c>
      <c r="F413" t="s">
        <v>88</v>
      </c>
      <c r="G413" t="s">
        <v>12</v>
      </c>
      <c r="H413" s="5">
        <v>2</v>
      </c>
      <c r="I413" s="5">
        <v>2</v>
      </c>
      <c r="J413" s="8">
        <v>645000</v>
      </c>
      <c r="K413" s="8">
        <v>650000</v>
      </c>
      <c r="L413" s="8">
        <v>650000</v>
      </c>
    </row>
    <row r="414" spans="1:12">
      <c r="A414" t="s">
        <v>530</v>
      </c>
      <c r="B414" t="s">
        <v>103</v>
      </c>
      <c r="C414" t="s">
        <v>14</v>
      </c>
      <c r="D414" s="7">
        <v>2026</v>
      </c>
      <c r="E414" s="7" t="s">
        <v>87</v>
      </c>
      <c r="F414" t="s">
        <v>88</v>
      </c>
      <c r="G414" t="s">
        <v>12</v>
      </c>
      <c r="H414" s="5">
        <v>3</v>
      </c>
      <c r="I414" s="5">
        <v>3</v>
      </c>
      <c r="J414" s="8">
        <v>645000</v>
      </c>
      <c r="K414" s="8">
        <v>650000</v>
      </c>
      <c r="L414" s="8">
        <v>650000</v>
      </c>
    </row>
    <row r="415" spans="1:12">
      <c r="A415" t="s">
        <v>531</v>
      </c>
      <c r="B415" t="s">
        <v>103</v>
      </c>
      <c r="C415" t="s">
        <v>14</v>
      </c>
      <c r="D415" s="7">
        <v>2026</v>
      </c>
      <c r="E415" s="7" t="s">
        <v>87</v>
      </c>
      <c r="F415" t="s">
        <v>88</v>
      </c>
      <c r="G415" t="s">
        <v>12</v>
      </c>
      <c r="H415" s="5">
        <v>4</v>
      </c>
      <c r="I415" s="5">
        <v>4</v>
      </c>
      <c r="J415" s="8">
        <v>650000</v>
      </c>
      <c r="K415" s="8">
        <v>645000</v>
      </c>
      <c r="L415" s="8">
        <v>650000</v>
      </c>
    </row>
    <row r="416" spans="1:12">
      <c r="A416" t="s">
        <v>532</v>
      </c>
      <c r="B416" t="s">
        <v>103</v>
      </c>
      <c r="C416" t="s">
        <v>14</v>
      </c>
      <c r="D416" s="7">
        <v>2026</v>
      </c>
      <c r="E416" s="7" t="s">
        <v>87</v>
      </c>
      <c r="F416" t="s">
        <v>88</v>
      </c>
      <c r="G416" t="s">
        <v>12</v>
      </c>
      <c r="H416" s="5">
        <v>5</v>
      </c>
      <c r="I416" s="5">
        <v>5</v>
      </c>
      <c r="J416" s="8">
        <v>640000</v>
      </c>
      <c r="K416" s="8">
        <v>645000</v>
      </c>
      <c r="L416" s="8">
        <v>650000</v>
      </c>
    </row>
    <row r="417" spans="1:12">
      <c r="A417" t="s">
        <v>533</v>
      </c>
      <c r="B417" t="s">
        <v>103</v>
      </c>
      <c r="C417" t="s">
        <v>14</v>
      </c>
      <c r="D417" s="7">
        <v>2026</v>
      </c>
      <c r="E417" s="7" t="s">
        <v>87</v>
      </c>
      <c r="F417" t="s">
        <v>88</v>
      </c>
      <c r="G417" t="s">
        <v>12</v>
      </c>
      <c r="H417" s="5">
        <v>6</v>
      </c>
      <c r="I417" s="5">
        <v>6</v>
      </c>
      <c r="J417" s="8">
        <v>640000</v>
      </c>
      <c r="K417" s="8">
        <v>645000</v>
      </c>
      <c r="L417" s="8">
        <v>650000</v>
      </c>
    </row>
    <row r="418" spans="1:12">
      <c r="A418" t="s">
        <v>534</v>
      </c>
      <c r="B418" t="s">
        <v>103</v>
      </c>
      <c r="C418" t="s">
        <v>14</v>
      </c>
      <c r="D418" s="7">
        <v>2026</v>
      </c>
      <c r="E418" s="7" t="s">
        <v>87</v>
      </c>
      <c r="F418" t="s">
        <v>88</v>
      </c>
      <c r="G418" t="s">
        <v>12</v>
      </c>
      <c r="H418" s="5">
        <v>7</v>
      </c>
      <c r="I418" s="5">
        <v>7</v>
      </c>
      <c r="J418" s="8">
        <v>650000</v>
      </c>
      <c r="K418" s="8">
        <v>650000</v>
      </c>
      <c r="L418" s="8">
        <v>650000</v>
      </c>
    </row>
    <row r="419" spans="1:12">
      <c r="A419" t="s">
        <v>535</v>
      </c>
      <c r="B419" t="s">
        <v>103</v>
      </c>
      <c r="C419" t="s">
        <v>14</v>
      </c>
      <c r="D419" s="7">
        <v>2026</v>
      </c>
      <c r="E419" s="7" t="s">
        <v>87</v>
      </c>
      <c r="F419" t="s">
        <v>88</v>
      </c>
      <c r="G419" t="s">
        <v>12</v>
      </c>
      <c r="H419" s="5">
        <v>8</v>
      </c>
      <c r="I419" s="5">
        <v>8</v>
      </c>
      <c r="J419" s="8">
        <v>645000</v>
      </c>
      <c r="K419" s="8">
        <v>650000</v>
      </c>
      <c r="L419" s="8">
        <v>650000</v>
      </c>
    </row>
    <row r="420" spans="1:12">
      <c r="A420" t="s">
        <v>536</v>
      </c>
      <c r="B420" t="s">
        <v>103</v>
      </c>
      <c r="C420" t="s">
        <v>14</v>
      </c>
      <c r="D420" s="7">
        <v>2026</v>
      </c>
      <c r="E420" s="7" t="s">
        <v>87</v>
      </c>
      <c r="F420" t="s">
        <v>88</v>
      </c>
      <c r="G420" t="s">
        <v>12</v>
      </c>
      <c r="H420" s="5">
        <v>9</v>
      </c>
      <c r="I420" s="5">
        <v>9</v>
      </c>
      <c r="J420" s="8">
        <v>650000</v>
      </c>
      <c r="K420" s="8">
        <v>645000</v>
      </c>
      <c r="L420" s="8">
        <v>650000</v>
      </c>
    </row>
    <row r="421" spans="1:12">
      <c r="A421" t="s">
        <v>537</v>
      </c>
      <c r="B421" t="s">
        <v>103</v>
      </c>
      <c r="C421" t="s">
        <v>14</v>
      </c>
      <c r="D421" s="7">
        <v>2026</v>
      </c>
      <c r="E421" s="7" t="s">
        <v>87</v>
      </c>
      <c r="F421" t="s">
        <v>88</v>
      </c>
      <c r="G421" t="s">
        <v>12</v>
      </c>
      <c r="H421" s="5">
        <v>10</v>
      </c>
      <c r="I421" s="5">
        <v>10</v>
      </c>
      <c r="J421" s="8">
        <v>645000</v>
      </c>
      <c r="K421" s="8">
        <v>650000</v>
      </c>
      <c r="L421" s="8">
        <v>650000</v>
      </c>
    </row>
    <row r="422" spans="1:12">
      <c r="A422" t="s">
        <v>538</v>
      </c>
      <c r="B422" t="s">
        <v>104</v>
      </c>
      <c r="C422" t="s">
        <v>14</v>
      </c>
      <c r="D422" s="7">
        <v>2026</v>
      </c>
      <c r="E422" s="7" t="s">
        <v>90</v>
      </c>
      <c r="F422" t="s">
        <v>91</v>
      </c>
      <c r="G422" t="s">
        <v>12</v>
      </c>
      <c r="H422" s="5">
        <v>1</v>
      </c>
      <c r="I422" s="5">
        <v>1</v>
      </c>
      <c r="J422" s="8">
        <v>610000</v>
      </c>
      <c r="K422" s="8">
        <v>595000</v>
      </c>
      <c r="L422" s="8">
        <v>580000</v>
      </c>
    </row>
    <row r="423" spans="1:12">
      <c r="A423" t="s">
        <v>539</v>
      </c>
      <c r="B423" t="s">
        <v>104</v>
      </c>
      <c r="C423" t="s">
        <v>14</v>
      </c>
      <c r="D423" s="7">
        <v>2026</v>
      </c>
      <c r="E423" s="7" t="s">
        <v>90</v>
      </c>
      <c r="F423" t="s">
        <v>91</v>
      </c>
      <c r="G423" t="s">
        <v>12</v>
      </c>
      <c r="H423" s="5">
        <v>2</v>
      </c>
      <c r="I423" s="5">
        <v>2</v>
      </c>
      <c r="J423" s="8">
        <v>640000</v>
      </c>
      <c r="K423" s="8">
        <v>610000</v>
      </c>
      <c r="L423" s="8">
        <v>580000</v>
      </c>
    </row>
    <row r="424" spans="1:12">
      <c r="A424" t="s">
        <v>540</v>
      </c>
      <c r="B424" t="s">
        <v>104</v>
      </c>
      <c r="C424" t="s">
        <v>14</v>
      </c>
      <c r="D424" s="7">
        <v>2026</v>
      </c>
      <c r="E424" s="7" t="s">
        <v>90</v>
      </c>
      <c r="F424" t="s">
        <v>91</v>
      </c>
      <c r="G424" t="s">
        <v>12</v>
      </c>
      <c r="H424" s="5">
        <v>3</v>
      </c>
      <c r="I424" s="5">
        <v>3</v>
      </c>
      <c r="J424" s="8">
        <v>635000</v>
      </c>
      <c r="K424" s="8">
        <v>625000</v>
      </c>
      <c r="L424" s="8">
        <v>580000</v>
      </c>
    </row>
    <row r="425" spans="1:12">
      <c r="A425" t="s">
        <v>541</v>
      </c>
      <c r="B425" t="s">
        <v>104</v>
      </c>
      <c r="C425" t="s">
        <v>14</v>
      </c>
      <c r="D425" s="7">
        <v>2026</v>
      </c>
      <c r="E425" s="7" t="s">
        <v>90</v>
      </c>
      <c r="F425" t="s">
        <v>91</v>
      </c>
      <c r="G425" t="s">
        <v>12</v>
      </c>
      <c r="H425" s="5">
        <v>4</v>
      </c>
      <c r="I425" s="5">
        <v>4</v>
      </c>
      <c r="J425" s="8">
        <v>625000</v>
      </c>
      <c r="K425" s="8">
        <v>615000</v>
      </c>
      <c r="L425" s="8">
        <v>580000</v>
      </c>
    </row>
    <row r="426" spans="1:12">
      <c r="A426" t="s">
        <v>542</v>
      </c>
      <c r="B426" t="s">
        <v>104</v>
      </c>
      <c r="C426" t="s">
        <v>14</v>
      </c>
      <c r="D426" s="7">
        <v>2026</v>
      </c>
      <c r="E426" s="7" t="s">
        <v>90</v>
      </c>
      <c r="F426" t="s">
        <v>91</v>
      </c>
      <c r="G426" t="s">
        <v>12</v>
      </c>
      <c r="H426" s="5">
        <v>5</v>
      </c>
      <c r="I426" s="5">
        <v>5</v>
      </c>
      <c r="J426" s="8">
        <v>610000</v>
      </c>
      <c r="K426" s="8">
        <v>600000</v>
      </c>
      <c r="L426" s="8">
        <v>580000</v>
      </c>
    </row>
    <row r="427" spans="1:12">
      <c r="A427" t="s">
        <v>543</v>
      </c>
      <c r="B427" t="s">
        <v>104</v>
      </c>
      <c r="C427" t="s">
        <v>14</v>
      </c>
      <c r="D427" s="7">
        <v>2026</v>
      </c>
      <c r="E427" s="7" t="s">
        <v>90</v>
      </c>
      <c r="F427" t="s">
        <v>91</v>
      </c>
      <c r="G427" t="s">
        <v>12</v>
      </c>
      <c r="H427" s="5">
        <v>6</v>
      </c>
      <c r="I427" s="5">
        <v>6</v>
      </c>
      <c r="J427" s="8">
        <v>635000</v>
      </c>
      <c r="K427" s="8">
        <v>605000</v>
      </c>
      <c r="L427" s="8">
        <v>580000</v>
      </c>
    </row>
    <row r="428" spans="1:12">
      <c r="A428" t="s">
        <v>544</v>
      </c>
      <c r="B428" t="s">
        <v>104</v>
      </c>
      <c r="C428" t="s">
        <v>14</v>
      </c>
      <c r="D428" s="7">
        <v>2026</v>
      </c>
      <c r="E428" s="7" t="s">
        <v>90</v>
      </c>
      <c r="F428" t="s">
        <v>91</v>
      </c>
      <c r="G428" t="s">
        <v>12</v>
      </c>
      <c r="H428" s="5">
        <v>7</v>
      </c>
      <c r="I428" s="5">
        <v>7</v>
      </c>
      <c r="J428" s="8">
        <v>625000</v>
      </c>
      <c r="K428" s="8">
        <v>595000</v>
      </c>
      <c r="L428" s="8">
        <v>580000</v>
      </c>
    </row>
    <row r="429" spans="1:12">
      <c r="A429" t="s">
        <v>545</v>
      </c>
      <c r="B429" t="s">
        <v>104</v>
      </c>
      <c r="C429" t="s">
        <v>14</v>
      </c>
      <c r="D429" s="7">
        <v>2026</v>
      </c>
      <c r="E429" s="7" t="s">
        <v>90</v>
      </c>
      <c r="F429" t="s">
        <v>91</v>
      </c>
      <c r="G429" t="s">
        <v>12</v>
      </c>
      <c r="H429" s="5">
        <v>8</v>
      </c>
      <c r="I429" s="5">
        <v>8</v>
      </c>
      <c r="J429" s="8">
        <v>635000</v>
      </c>
      <c r="K429" s="8">
        <v>599000</v>
      </c>
      <c r="L429" s="8">
        <v>580000</v>
      </c>
    </row>
    <row r="430" spans="1:12">
      <c r="A430" t="s">
        <v>546</v>
      </c>
      <c r="B430" t="s">
        <v>104</v>
      </c>
      <c r="C430" t="s">
        <v>14</v>
      </c>
      <c r="D430" s="7">
        <v>2026</v>
      </c>
      <c r="E430" s="7" t="s">
        <v>90</v>
      </c>
      <c r="F430" t="s">
        <v>91</v>
      </c>
      <c r="G430" t="s">
        <v>12</v>
      </c>
      <c r="H430" s="5">
        <v>9</v>
      </c>
      <c r="I430" s="5">
        <v>9</v>
      </c>
      <c r="J430" s="8">
        <v>630000</v>
      </c>
      <c r="K430" s="8">
        <v>605000</v>
      </c>
      <c r="L430" s="8">
        <v>580000</v>
      </c>
    </row>
    <row r="431" spans="1:12">
      <c r="A431" t="s">
        <v>547</v>
      </c>
      <c r="B431" t="s">
        <v>104</v>
      </c>
      <c r="C431" t="s">
        <v>14</v>
      </c>
      <c r="D431" s="7">
        <v>2026</v>
      </c>
      <c r="E431" s="7" t="s">
        <v>90</v>
      </c>
      <c r="F431" t="s">
        <v>91</v>
      </c>
      <c r="G431" t="s">
        <v>12</v>
      </c>
      <c r="H431" s="5">
        <v>10</v>
      </c>
      <c r="I431" s="5">
        <v>10</v>
      </c>
      <c r="J431" s="8">
        <v>640000</v>
      </c>
      <c r="K431" s="8">
        <v>630000</v>
      </c>
      <c r="L431" s="8">
        <v>580000</v>
      </c>
    </row>
    <row r="432" spans="1:12">
      <c r="A432" t="s">
        <v>548</v>
      </c>
      <c r="B432" t="s">
        <v>105</v>
      </c>
      <c r="C432" t="s">
        <v>14</v>
      </c>
      <c r="D432" s="7">
        <v>2026</v>
      </c>
      <c r="E432" s="7" t="s">
        <v>93</v>
      </c>
      <c r="F432" t="s">
        <v>94</v>
      </c>
      <c r="G432" t="s">
        <v>12</v>
      </c>
      <c r="H432" s="5">
        <v>1</v>
      </c>
      <c r="I432" s="5">
        <v>1</v>
      </c>
      <c r="J432" s="8">
        <v>755000</v>
      </c>
      <c r="K432" s="8">
        <v>735000</v>
      </c>
      <c r="L432" s="8">
        <v>725000</v>
      </c>
    </row>
    <row r="433" spans="1:12">
      <c r="A433" t="s">
        <v>549</v>
      </c>
      <c r="B433" t="s">
        <v>105</v>
      </c>
      <c r="C433" t="s">
        <v>14</v>
      </c>
      <c r="D433" s="7">
        <v>2026</v>
      </c>
      <c r="E433" s="7" t="s">
        <v>93</v>
      </c>
      <c r="F433" t="s">
        <v>94</v>
      </c>
      <c r="G433" t="s">
        <v>12</v>
      </c>
      <c r="H433" s="5">
        <v>2</v>
      </c>
      <c r="I433" s="5">
        <v>2</v>
      </c>
      <c r="J433" s="8">
        <v>745000</v>
      </c>
      <c r="K433" s="8">
        <v>730000</v>
      </c>
      <c r="L433" s="8">
        <v>725000</v>
      </c>
    </row>
    <row r="434" spans="1:12">
      <c r="A434" t="s">
        <v>550</v>
      </c>
      <c r="B434" t="s">
        <v>105</v>
      </c>
      <c r="C434" t="s">
        <v>14</v>
      </c>
      <c r="D434" s="7">
        <v>2026</v>
      </c>
      <c r="E434" s="7" t="s">
        <v>93</v>
      </c>
      <c r="F434" t="s">
        <v>94</v>
      </c>
      <c r="G434" t="s">
        <v>12</v>
      </c>
      <c r="H434" s="5">
        <v>3</v>
      </c>
      <c r="I434" s="5">
        <v>3</v>
      </c>
      <c r="J434" s="8">
        <v>750000</v>
      </c>
      <c r="K434" s="8">
        <v>730000</v>
      </c>
      <c r="L434" s="8">
        <v>725000</v>
      </c>
    </row>
    <row r="435" spans="1:12">
      <c r="A435" t="s">
        <v>551</v>
      </c>
      <c r="B435" t="s">
        <v>105</v>
      </c>
      <c r="C435" t="s">
        <v>14</v>
      </c>
      <c r="D435" s="7">
        <v>2026</v>
      </c>
      <c r="E435" s="7" t="s">
        <v>93</v>
      </c>
      <c r="F435" t="s">
        <v>94</v>
      </c>
      <c r="G435" t="s">
        <v>12</v>
      </c>
      <c r="H435" s="5">
        <v>4</v>
      </c>
      <c r="I435" s="5">
        <v>4</v>
      </c>
      <c r="J435" s="8">
        <v>735000</v>
      </c>
      <c r="K435" s="8">
        <v>720000</v>
      </c>
      <c r="L435" s="8">
        <v>725000</v>
      </c>
    </row>
    <row r="436" spans="1:12">
      <c r="A436" t="s">
        <v>552</v>
      </c>
      <c r="B436" t="s">
        <v>105</v>
      </c>
      <c r="C436" t="s">
        <v>14</v>
      </c>
      <c r="D436" s="7">
        <v>2026</v>
      </c>
      <c r="E436" s="7" t="s">
        <v>93</v>
      </c>
      <c r="F436" t="s">
        <v>94</v>
      </c>
      <c r="G436" t="s">
        <v>12</v>
      </c>
      <c r="H436" s="5">
        <v>5</v>
      </c>
      <c r="I436" s="5">
        <v>5</v>
      </c>
      <c r="J436" s="8">
        <v>725000</v>
      </c>
      <c r="K436" s="8">
        <v>715000</v>
      </c>
      <c r="L436" s="8">
        <v>725000</v>
      </c>
    </row>
    <row r="437" spans="1:12">
      <c r="A437" t="s">
        <v>553</v>
      </c>
      <c r="B437" t="s">
        <v>105</v>
      </c>
      <c r="C437" t="s">
        <v>14</v>
      </c>
      <c r="D437" s="7">
        <v>2026</v>
      </c>
      <c r="E437" s="7" t="s">
        <v>93</v>
      </c>
      <c r="F437" t="s">
        <v>94</v>
      </c>
      <c r="G437" t="s">
        <v>12</v>
      </c>
      <c r="H437" s="5">
        <v>6</v>
      </c>
      <c r="I437" s="5">
        <v>6</v>
      </c>
      <c r="J437" s="8">
        <v>745000</v>
      </c>
      <c r="K437" s="8">
        <v>725000</v>
      </c>
      <c r="L437" s="8">
        <v>725000</v>
      </c>
    </row>
    <row r="438" spans="1:12">
      <c r="A438" t="s">
        <v>554</v>
      </c>
      <c r="B438" t="s">
        <v>105</v>
      </c>
      <c r="C438" t="s">
        <v>14</v>
      </c>
      <c r="D438" s="7">
        <v>2026</v>
      </c>
      <c r="E438" s="7" t="s">
        <v>93</v>
      </c>
      <c r="F438" t="s">
        <v>94</v>
      </c>
      <c r="G438" t="s">
        <v>12</v>
      </c>
      <c r="H438" s="5">
        <v>7</v>
      </c>
      <c r="I438" s="5">
        <v>7</v>
      </c>
      <c r="J438" s="8">
        <v>740000</v>
      </c>
      <c r="K438" s="8">
        <v>725000</v>
      </c>
      <c r="L438" s="8">
        <v>725000</v>
      </c>
    </row>
    <row r="439" spans="1:12">
      <c r="A439" t="s">
        <v>555</v>
      </c>
      <c r="B439" t="s">
        <v>105</v>
      </c>
      <c r="C439" t="s">
        <v>14</v>
      </c>
      <c r="D439" s="7">
        <v>2026</v>
      </c>
      <c r="E439" s="7" t="s">
        <v>93</v>
      </c>
      <c r="F439" t="s">
        <v>94</v>
      </c>
      <c r="G439" t="s">
        <v>12</v>
      </c>
      <c r="H439" s="5">
        <v>8</v>
      </c>
      <c r="I439" s="5">
        <v>8</v>
      </c>
      <c r="J439" s="8">
        <v>745000</v>
      </c>
      <c r="K439" s="8">
        <v>725000</v>
      </c>
      <c r="L439" s="8">
        <v>725000</v>
      </c>
    </row>
    <row r="440" spans="1:12">
      <c r="A440" t="s">
        <v>556</v>
      </c>
      <c r="B440" t="s">
        <v>105</v>
      </c>
      <c r="C440" t="s">
        <v>14</v>
      </c>
      <c r="D440" s="7">
        <v>2026</v>
      </c>
      <c r="E440" s="7" t="s">
        <v>93</v>
      </c>
      <c r="F440" t="s">
        <v>94</v>
      </c>
      <c r="G440" t="s">
        <v>12</v>
      </c>
      <c r="H440" s="5">
        <v>9</v>
      </c>
      <c r="I440" s="5">
        <v>9</v>
      </c>
      <c r="J440" s="8">
        <v>745000</v>
      </c>
      <c r="K440" s="8">
        <v>725000</v>
      </c>
      <c r="L440" s="8">
        <v>725000</v>
      </c>
    </row>
    <row r="441" spans="1:12">
      <c r="A441" t="s">
        <v>557</v>
      </c>
      <c r="B441" t="s">
        <v>105</v>
      </c>
      <c r="C441" t="s">
        <v>14</v>
      </c>
      <c r="D441" s="7">
        <v>2026</v>
      </c>
      <c r="E441" s="7" t="s">
        <v>93</v>
      </c>
      <c r="F441" t="s">
        <v>94</v>
      </c>
      <c r="G441" t="s">
        <v>12</v>
      </c>
      <c r="H441" s="5">
        <v>10</v>
      </c>
      <c r="I441" s="5">
        <v>10</v>
      </c>
      <c r="J441" s="8">
        <v>735000</v>
      </c>
      <c r="K441" s="8">
        <v>725000</v>
      </c>
      <c r="L441" s="8">
        <v>725000</v>
      </c>
    </row>
    <row r="442" spans="1:12">
      <c r="A442" t="s">
        <v>558</v>
      </c>
      <c r="B442" t="s">
        <v>106</v>
      </c>
      <c r="C442" t="s">
        <v>14</v>
      </c>
      <c r="D442" s="7">
        <v>2026</v>
      </c>
      <c r="E442" s="7" t="s">
        <v>96</v>
      </c>
      <c r="F442" t="s">
        <v>97</v>
      </c>
      <c r="G442" t="s">
        <v>12</v>
      </c>
      <c r="H442" s="5">
        <v>1</v>
      </c>
      <c r="I442" s="5">
        <v>1</v>
      </c>
      <c r="J442" s="8">
        <v>630000</v>
      </c>
      <c r="K442" s="8">
        <v>600000</v>
      </c>
      <c r="L442" s="8">
        <v>600000</v>
      </c>
    </row>
    <row r="443" spans="1:12">
      <c r="A443" t="s">
        <v>559</v>
      </c>
      <c r="B443" t="s">
        <v>106</v>
      </c>
      <c r="C443" t="s">
        <v>14</v>
      </c>
      <c r="D443" s="7">
        <v>2026</v>
      </c>
      <c r="E443" s="7" t="s">
        <v>96</v>
      </c>
      <c r="F443" t="s">
        <v>97</v>
      </c>
      <c r="G443" t="s">
        <v>12</v>
      </c>
      <c r="H443" s="5">
        <v>2</v>
      </c>
      <c r="I443" s="5">
        <v>2</v>
      </c>
      <c r="J443" s="8">
        <v>630000</v>
      </c>
      <c r="K443" s="8">
        <v>605000</v>
      </c>
      <c r="L443" s="8">
        <v>600000</v>
      </c>
    </row>
    <row r="444" spans="1:12">
      <c r="A444" t="s">
        <v>560</v>
      </c>
      <c r="B444" t="s">
        <v>106</v>
      </c>
      <c r="C444" t="s">
        <v>14</v>
      </c>
      <c r="D444" s="7">
        <v>2026</v>
      </c>
      <c r="E444" s="7" t="s">
        <v>96</v>
      </c>
      <c r="F444" t="s">
        <v>97</v>
      </c>
      <c r="G444" t="s">
        <v>12</v>
      </c>
      <c r="H444" s="5">
        <v>3</v>
      </c>
      <c r="I444" s="5">
        <v>3</v>
      </c>
      <c r="J444" s="8">
        <v>640000</v>
      </c>
      <c r="K444" s="8">
        <v>610000</v>
      </c>
      <c r="L444" s="8">
        <v>600000</v>
      </c>
    </row>
    <row r="445" spans="1:12">
      <c r="A445" t="s">
        <v>561</v>
      </c>
      <c r="B445" t="s">
        <v>106</v>
      </c>
      <c r="C445" t="s">
        <v>14</v>
      </c>
      <c r="D445" s="7">
        <v>2026</v>
      </c>
      <c r="E445" s="7" t="s">
        <v>96</v>
      </c>
      <c r="F445" t="s">
        <v>97</v>
      </c>
      <c r="G445" t="s">
        <v>12</v>
      </c>
      <c r="H445" s="5">
        <v>4</v>
      </c>
      <c r="I445" s="5">
        <v>4</v>
      </c>
      <c r="J445" s="8">
        <v>640000</v>
      </c>
      <c r="K445" s="8">
        <v>605000</v>
      </c>
      <c r="L445" s="8">
        <v>600000</v>
      </c>
    </row>
    <row r="446" spans="1:12">
      <c r="A446" t="s">
        <v>562</v>
      </c>
      <c r="B446" t="s">
        <v>106</v>
      </c>
      <c r="C446" t="s">
        <v>14</v>
      </c>
      <c r="D446" s="7">
        <v>2026</v>
      </c>
      <c r="E446" s="7" t="s">
        <v>96</v>
      </c>
      <c r="F446" t="s">
        <v>97</v>
      </c>
      <c r="G446" t="s">
        <v>12</v>
      </c>
      <c r="H446" s="5">
        <v>5</v>
      </c>
      <c r="I446" s="5">
        <v>5</v>
      </c>
      <c r="J446" s="8">
        <v>640000</v>
      </c>
      <c r="K446" s="8">
        <v>610000</v>
      </c>
      <c r="L446" s="8">
        <v>600000</v>
      </c>
    </row>
    <row r="447" spans="1:12">
      <c r="A447" t="s">
        <v>563</v>
      </c>
      <c r="B447" t="s">
        <v>106</v>
      </c>
      <c r="C447" t="s">
        <v>14</v>
      </c>
      <c r="D447" s="7">
        <v>2026</v>
      </c>
      <c r="E447" s="7" t="s">
        <v>96</v>
      </c>
      <c r="F447" t="s">
        <v>97</v>
      </c>
      <c r="G447" t="s">
        <v>12</v>
      </c>
      <c r="H447" s="5">
        <v>6</v>
      </c>
      <c r="I447" s="5">
        <v>6</v>
      </c>
      <c r="J447" s="8">
        <v>625000</v>
      </c>
      <c r="K447" s="8">
        <v>605000</v>
      </c>
      <c r="L447" s="8">
        <v>600000</v>
      </c>
    </row>
    <row r="448" spans="1:12">
      <c r="A448" t="s">
        <v>564</v>
      </c>
      <c r="B448" t="s">
        <v>106</v>
      </c>
      <c r="C448" t="s">
        <v>14</v>
      </c>
      <c r="D448" s="7">
        <v>2026</v>
      </c>
      <c r="E448" s="7" t="s">
        <v>96</v>
      </c>
      <c r="F448" t="s">
        <v>97</v>
      </c>
      <c r="G448" t="s">
        <v>12</v>
      </c>
      <c r="H448" s="5">
        <v>7</v>
      </c>
      <c r="I448" s="5">
        <v>7</v>
      </c>
      <c r="J448" s="8">
        <v>620000</v>
      </c>
      <c r="K448" s="8">
        <v>605000</v>
      </c>
      <c r="L448" s="8">
        <v>600000</v>
      </c>
    </row>
    <row r="449" spans="1:12">
      <c r="A449" t="s">
        <v>565</v>
      </c>
      <c r="B449" t="s">
        <v>106</v>
      </c>
      <c r="C449" t="s">
        <v>14</v>
      </c>
      <c r="D449" s="7">
        <v>2026</v>
      </c>
      <c r="E449" s="7" t="s">
        <v>96</v>
      </c>
      <c r="F449" t="s">
        <v>97</v>
      </c>
      <c r="G449" t="s">
        <v>12</v>
      </c>
      <c r="H449" s="5">
        <v>8</v>
      </c>
      <c r="I449" s="5">
        <v>8</v>
      </c>
      <c r="J449" s="8">
        <v>640000</v>
      </c>
      <c r="K449" s="8">
        <v>615000</v>
      </c>
      <c r="L449" s="8">
        <v>600000</v>
      </c>
    </row>
    <row r="450" spans="1:12">
      <c r="A450" t="s">
        <v>566</v>
      </c>
      <c r="B450" t="s">
        <v>106</v>
      </c>
      <c r="C450" t="s">
        <v>14</v>
      </c>
      <c r="D450" s="7">
        <v>2026</v>
      </c>
      <c r="E450" s="7" t="s">
        <v>96</v>
      </c>
      <c r="F450" t="s">
        <v>97</v>
      </c>
      <c r="G450" t="s">
        <v>12</v>
      </c>
      <c r="H450" s="5">
        <v>9</v>
      </c>
      <c r="I450" s="5">
        <v>9</v>
      </c>
      <c r="J450" s="8">
        <v>635000</v>
      </c>
      <c r="K450" s="8">
        <v>610000</v>
      </c>
      <c r="L450" s="8">
        <v>600000</v>
      </c>
    </row>
    <row r="451" spans="1:12">
      <c r="A451" t="s">
        <v>567</v>
      </c>
      <c r="B451" t="s">
        <v>106</v>
      </c>
      <c r="C451" t="s">
        <v>14</v>
      </c>
      <c r="D451" s="7">
        <v>2026</v>
      </c>
      <c r="E451" s="7" t="s">
        <v>96</v>
      </c>
      <c r="F451" t="s">
        <v>97</v>
      </c>
      <c r="G451" t="s">
        <v>12</v>
      </c>
      <c r="H451" s="5">
        <v>10</v>
      </c>
      <c r="I451" s="5">
        <v>10</v>
      </c>
      <c r="J451" s="8">
        <v>645000</v>
      </c>
      <c r="K451" s="8">
        <v>610000</v>
      </c>
      <c r="L451" s="8">
        <v>600000</v>
      </c>
    </row>
    <row r="452" spans="1:12">
      <c r="A452" t="s">
        <v>568</v>
      </c>
      <c r="B452" t="s">
        <v>107</v>
      </c>
      <c r="C452" t="s">
        <v>15</v>
      </c>
      <c r="D452" s="7">
        <v>2026</v>
      </c>
      <c r="E452" s="7" t="s">
        <v>108</v>
      </c>
      <c r="F452" t="s">
        <v>43</v>
      </c>
      <c r="G452" t="s">
        <v>12</v>
      </c>
      <c r="H452" s="5">
        <v>1</v>
      </c>
      <c r="I452" s="5">
        <v>1</v>
      </c>
      <c r="J452" s="8">
        <v>710000</v>
      </c>
      <c r="K452" s="8">
        <v>712500</v>
      </c>
      <c r="L452" s="8">
        <v>720000</v>
      </c>
    </row>
    <row r="453" spans="1:12">
      <c r="A453" t="s">
        <v>569</v>
      </c>
      <c r="B453" t="s">
        <v>107</v>
      </c>
      <c r="C453" t="s">
        <v>15</v>
      </c>
      <c r="D453" s="7">
        <v>2026</v>
      </c>
      <c r="E453" s="7" t="s">
        <v>108</v>
      </c>
      <c r="F453" t="s">
        <v>43</v>
      </c>
      <c r="G453" t="s">
        <v>12</v>
      </c>
      <c r="H453" s="5">
        <v>2</v>
      </c>
      <c r="I453" s="5">
        <v>2</v>
      </c>
      <c r="J453" s="8">
        <v>710000</v>
      </c>
      <c r="K453" s="8">
        <v>715000</v>
      </c>
      <c r="L453" s="8">
        <v>720000</v>
      </c>
    </row>
    <row r="454" spans="1:12">
      <c r="A454" t="s">
        <v>570</v>
      </c>
      <c r="B454" t="s">
        <v>107</v>
      </c>
      <c r="C454" t="s">
        <v>15</v>
      </c>
      <c r="D454" s="7">
        <v>2026</v>
      </c>
      <c r="E454" s="7" t="s">
        <v>108</v>
      </c>
      <c r="F454" t="s">
        <v>43</v>
      </c>
      <c r="G454" t="s">
        <v>12</v>
      </c>
      <c r="H454" s="5">
        <v>3</v>
      </c>
      <c r="I454" s="5">
        <v>3</v>
      </c>
      <c r="J454" s="8">
        <v>715000</v>
      </c>
      <c r="K454" s="8">
        <v>715000</v>
      </c>
      <c r="L454" s="8">
        <v>720000</v>
      </c>
    </row>
    <row r="455" spans="1:12">
      <c r="A455" t="s">
        <v>571</v>
      </c>
      <c r="B455" t="s">
        <v>107</v>
      </c>
      <c r="C455" t="s">
        <v>15</v>
      </c>
      <c r="D455" s="7">
        <v>2026</v>
      </c>
      <c r="E455" s="7" t="s">
        <v>108</v>
      </c>
      <c r="F455" t="s">
        <v>43</v>
      </c>
      <c r="G455" t="s">
        <v>12</v>
      </c>
      <c r="H455" s="5">
        <v>4</v>
      </c>
      <c r="I455" s="5">
        <v>4</v>
      </c>
      <c r="J455" s="8">
        <v>710000</v>
      </c>
      <c r="K455" s="8">
        <v>715000</v>
      </c>
      <c r="L455" s="8">
        <v>720000</v>
      </c>
    </row>
    <row r="456" spans="1:12">
      <c r="A456" t="s">
        <v>572</v>
      </c>
      <c r="B456" t="s">
        <v>107</v>
      </c>
      <c r="C456" t="s">
        <v>15</v>
      </c>
      <c r="D456" s="7">
        <v>2026</v>
      </c>
      <c r="E456" s="7" t="s">
        <v>108</v>
      </c>
      <c r="F456" t="s">
        <v>43</v>
      </c>
      <c r="G456" t="s">
        <v>12</v>
      </c>
      <c r="H456" s="5">
        <v>5</v>
      </c>
      <c r="I456" s="5">
        <v>5</v>
      </c>
      <c r="J456" s="8">
        <v>715000</v>
      </c>
      <c r="K456" s="8">
        <v>710000</v>
      </c>
      <c r="L456" s="8">
        <v>720000</v>
      </c>
    </row>
    <row r="457" spans="1:12">
      <c r="A457" t="s">
        <v>573</v>
      </c>
      <c r="B457" t="s">
        <v>107</v>
      </c>
      <c r="C457" t="s">
        <v>15</v>
      </c>
      <c r="D457" s="7">
        <v>2026</v>
      </c>
      <c r="E457" s="7" t="s">
        <v>108</v>
      </c>
      <c r="F457" t="s">
        <v>43</v>
      </c>
      <c r="G457" t="s">
        <v>12</v>
      </c>
      <c r="H457" s="5">
        <v>6</v>
      </c>
      <c r="I457" s="5">
        <v>6</v>
      </c>
      <c r="J457" s="8">
        <v>720000</v>
      </c>
      <c r="K457" s="8">
        <v>715000</v>
      </c>
      <c r="L457" s="8">
        <v>720000</v>
      </c>
    </row>
    <row r="458" spans="1:12">
      <c r="A458" t="s">
        <v>574</v>
      </c>
      <c r="B458" t="s">
        <v>107</v>
      </c>
      <c r="C458" t="s">
        <v>15</v>
      </c>
      <c r="D458" s="7">
        <v>2026</v>
      </c>
      <c r="E458" s="7" t="s">
        <v>108</v>
      </c>
      <c r="F458" t="s">
        <v>43</v>
      </c>
      <c r="G458" t="s">
        <v>12</v>
      </c>
      <c r="H458" s="5">
        <v>7</v>
      </c>
      <c r="I458" s="5">
        <v>7</v>
      </c>
      <c r="J458" s="8">
        <v>715000</v>
      </c>
      <c r="K458" s="8">
        <v>715000</v>
      </c>
      <c r="L458" s="8">
        <v>720000</v>
      </c>
    </row>
    <row r="459" spans="1:12">
      <c r="A459" t="s">
        <v>575</v>
      </c>
      <c r="B459" t="s">
        <v>107</v>
      </c>
      <c r="C459" t="s">
        <v>15</v>
      </c>
      <c r="D459" s="7">
        <v>2026</v>
      </c>
      <c r="E459" s="7" t="s">
        <v>108</v>
      </c>
      <c r="F459" t="s">
        <v>43</v>
      </c>
      <c r="G459" t="s">
        <v>12</v>
      </c>
      <c r="H459" s="5">
        <v>8</v>
      </c>
      <c r="I459" s="5">
        <v>8</v>
      </c>
      <c r="J459" s="8">
        <v>730000</v>
      </c>
      <c r="K459" s="8">
        <v>720000</v>
      </c>
      <c r="L459" s="8">
        <v>720000</v>
      </c>
    </row>
    <row r="460" spans="1:12">
      <c r="A460" t="s">
        <v>576</v>
      </c>
      <c r="B460" t="s">
        <v>107</v>
      </c>
      <c r="C460" t="s">
        <v>15</v>
      </c>
      <c r="D460" s="7">
        <v>2026</v>
      </c>
      <c r="E460" s="7" t="s">
        <v>108</v>
      </c>
      <c r="F460" t="s">
        <v>43</v>
      </c>
      <c r="G460" t="s">
        <v>12</v>
      </c>
      <c r="H460" s="5">
        <v>9</v>
      </c>
      <c r="I460" s="5">
        <v>9</v>
      </c>
      <c r="J460" s="8">
        <v>715000</v>
      </c>
      <c r="K460" s="8">
        <v>715000</v>
      </c>
      <c r="L460" s="8">
        <v>720000</v>
      </c>
    </row>
    <row r="461" spans="1:12">
      <c r="A461" t="s">
        <v>577</v>
      </c>
      <c r="B461" t="s">
        <v>107</v>
      </c>
      <c r="C461" t="s">
        <v>15</v>
      </c>
      <c r="D461" s="7">
        <v>2026</v>
      </c>
      <c r="E461" s="7" t="s">
        <v>108</v>
      </c>
      <c r="F461" t="s">
        <v>43</v>
      </c>
      <c r="G461" t="s">
        <v>12</v>
      </c>
      <c r="H461" s="5">
        <v>10</v>
      </c>
      <c r="I461" s="5">
        <v>10</v>
      </c>
      <c r="J461" s="8">
        <v>715000</v>
      </c>
      <c r="K461" s="8">
        <v>710000</v>
      </c>
      <c r="L461" s="8">
        <v>720000</v>
      </c>
    </row>
  </sheetData>
  <pageMargins left="0.7" right="0.7" top="0.75" bottom="0.75" header="0.3" footer="0.3"/>
  <pageSetup scale="6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2BFC-7C64-4F6D-AB06-89C74746D9F2}">
  <dimension ref="A1:L66"/>
  <sheetViews>
    <sheetView tabSelected="1" workbookViewId="0">
      <pane ySplit="11" topLeftCell="A12" activePane="bottomLeft" state="frozen"/>
      <selection pane="bottomLeft"/>
    </sheetView>
  </sheetViews>
  <sheetFormatPr defaultRowHeight="14.25"/>
  <cols>
    <col min="1" max="1" width="27" customWidth="1"/>
    <col min="2" max="2" width="18" customWidth="1"/>
    <col min="3" max="3" width="14.75" customWidth="1"/>
    <col min="4" max="4" width="9.375" style="5" customWidth="1"/>
    <col min="5" max="5" width="12.25" customWidth="1"/>
    <col min="6" max="8" width="17" customWidth="1"/>
    <col min="9" max="9" width="12.875" customWidth="1"/>
    <col min="10" max="10" width="12" customWidth="1"/>
    <col min="11" max="11" width="10.875" style="7" customWidth="1"/>
    <col min="12" max="12" width="24.75" customWidth="1"/>
  </cols>
  <sheetData>
    <row r="1" spans="1:12" ht="27.95" customHeight="1">
      <c r="A1" s="1" t="s">
        <v>578</v>
      </c>
      <c r="B1" s="1"/>
      <c r="C1" s="1"/>
      <c r="D1" s="10"/>
      <c r="E1" s="1"/>
      <c r="F1" s="1"/>
      <c r="G1" s="1"/>
      <c r="H1" s="1"/>
      <c r="I1" s="1"/>
      <c r="J1" s="1"/>
      <c r="K1" s="11"/>
      <c r="L1" s="1"/>
    </row>
    <row r="2" spans="1:12">
      <c r="A2" t="s">
        <v>579</v>
      </c>
    </row>
    <row r="4" spans="1:12" s="3" customFormat="1" ht="33.950000000000003" customHeight="1">
      <c r="A4" s="21" t="s">
        <v>0</v>
      </c>
      <c r="B4" s="21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8</v>
      </c>
      <c r="J4" s="22" t="s">
        <v>9</v>
      </c>
      <c r="K4" s="12"/>
      <c r="L4" s="13"/>
    </row>
    <row r="5" spans="1:12" ht="21" customHeight="1">
      <c r="A5" s="24" t="s">
        <v>14</v>
      </c>
      <c r="B5" s="24" t="s">
        <v>12</v>
      </c>
      <c r="C5" s="33">
        <f>COUNTIFS($B$12:$B$39,$A5,$C$12:$C$39,$B5)</f>
        <v>9</v>
      </c>
      <c r="D5" s="26">
        <f>AVERAGE(I12:I20)</f>
        <v>1.2224118903166574E-2</v>
      </c>
      <c r="E5" s="26">
        <f>MEDIAN(I12:I20)</f>
        <v>1.0551181102362205E-2</v>
      </c>
      <c r="F5" s="26">
        <f>MAX(I12:I20)</f>
        <v>4.8103448275862069E-2</v>
      </c>
      <c r="G5" s="33">
        <f>COUNTIF(I12:I20,"&lt;=0.05")</f>
        <v>9</v>
      </c>
      <c r="H5" s="26">
        <f>AVERAGE(J12:J20)</f>
        <v>7.8431379816548494E-3</v>
      </c>
      <c r="I5" s="26">
        <f>AVERAGE(K12:K20)</f>
        <v>4.7363025392637773E-3</v>
      </c>
      <c r="J5" s="33">
        <f>SUMIFS($E$12:$E$39,$B$12:$B$39,$A5,$C$12:$C$39,$B5)</f>
        <v>90</v>
      </c>
      <c r="K5" s="27"/>
      <c r="L5" s="24"/>
    </row>
    <row r="6" spans="1:12" ht="21" customHeight="1">
      <c r="A6" s="41" t="s">
        <v>15</v>
      </c>
      <c r="B6" s="41" t="s">
        <v>12</v>
      </c>
      <c r="C6" s="48">
        <f>COUNTIFS($B$12:$B$39,$A6,$C$12:$C$39,$B6)</f>
        <v>1</v>
      </c>
      <c r="D6" s="49">
        <f>AVERAGE(I21:I21)</f>
        <v>7.9861111111111105E-3</v>
      </c>
      <c r="E6" s="49">
        <f>MEDIAN(I21:I21)</f>
        <v>7.9861111111111105E-3</v>
      </c>
      <c r="F6" s="49">
        <f>MAX(I21:I21)</f>
        <v>7.9861111111111105E-3</v>
      </c>
      <c r="G6" s="48">
        <f>COUNTIF(I21:I21,"&lt;=0.05")</f>
        <v>1</v>
      </c>
      <c r="H6" s="49">
        <f>AVERAGE(J21:J21)</f>
        <v>4.0584592535120954E-3</v>
      </c>
      <c r="I6" s="49">
        <f>AVERAGE(K21:K21)</f>
        <v>-7.9861111111111105E-3</v>
      </c>
      <c r="J6" s="48">
        <f>SUMIFS($E$12:$E$39,$B$12:$B$39,$A6,$C$12:$C$39,$B6)</f>
        <v>10</v>
      </c>
      <c r="K6" s="27"/>
      <c r="L6" s="24"/>
    </row>
    <row r="7" spans="1:12" ht="21" customHeight="1">
      <c r="A7" s="24" t="s">
        <v>10</v>
      </c>
      <c r="B7" s="24" t="s">
        <v>12</v>
      </c>
      <c r="C7" s="33">
        <f>COUNTIFS($B$12:$B$39,$A7,$C$12:$C$39,$B7)</f>
        <v>9</v>
      </c>
      <c r="D7" s="26">
        <f>AVERAGE(I22:I30)</f>
        <v>3.2315150369008373E-2</v>
      </c>
      <c r="E7" s="26">
        <f>MEDIAN(I22:I30)</f>
        <v>2.6993865030674847E-2</v>
      </c>
      <c r="F7" s="26">
        <f>MAX(I22:I30)</f>
        <v>6.9354838709677416E-2</v>
      </c>
      <c r="G7" s="33">
        <f>COUNTIF(I22:I30,"&lt;=0.05")</f>
        <v>6</v>
      </c>
      <c r="H7" s="26">
        <f>AVERAGE(J22:J30)</f>
        <v>9.2618296700299734E-3</v>
      </c>
      <c r="I7" s="26">
        <f>AVERAGE(K22:K30)</f>
        <v>2.2409309788321164E-2</v>
      </c>
      <c r="J7" s="33">
        <f>SUMIFS($E$12:$E$39,$B$12:$B$39,$A7,$C$12:$C$39,$B7)</f>
        <v>90</v>
      </c>
      <c r="K7" s="27"/>
      <c r="L7" s="24"/>
    </row>
    <row r="8" spans="1:12" ht="21" customHeight="1">
      <c r="A8" s="24" t="s">
        <v>13</v>
      </c>
      <c r="B8" s="24" t="s">
        <v>12</v>
      </c>
      <c r="C8" s="33">
        <f>COUNTIFS($B$12:$B$39,$A8,$C$12:$C$39,$B8)</f>
        <v>9</v>
      </c>
      <c r="D8" s="26">
        <f>AVERAGE(I31:I39)</f>
        <v>3.7168216524732629E-2</v>
      </c>
      <c r="E8" s="26">
        <f>MEDIAN(I31:I39)</f>
        <v>2.7407407407407408E-2</v>
      </c>
      <c r="F8" s="26">
        <f>MAX(I31:I39)</f>
        <v>7.046462309620205E-2</v>
      </c>
      <c r="G8" s="33">
        <f>COUNTIF(I31:I39,"&lt;=0.05")</f>
        <v>5</v>
      </c>
      <c r="H8" s="26">
        <f>AVERAGE(J31:J39)</f>
        <v>6.8714881181834294E-3</v>
      </c>
      <c r="I8" s="26">
        <f>AVERAGE(K31:K39)</f>
        <v>2.8084267072685014E-2</v>
      </c>
      <c r="J8" s="33">
        <f>SUMIFS($E$12:$E$39,$B$12:$B$39,$A8,$C$12:$C$39,$B8)</f>
        <v>90</v>
      </c>
      <c r="K8" s="27"/>
      <c r="L8" s="24"/>
    </row>
    <row r="9" spans="1:12">
      <c r="A9" s="14"/>
      <c r="B9" s="14"/>
      <c r="C9" s="15"/>
      <c r="D9" s="16"/>
      <c r="E9" s="16"/>
      <c r="F9" s="16"/>
      <c r="G9" s="15"/>
      <c r="H9" s="16"/>
      <c r="I9" s="16"/>
      <c r="J9" s="15"/>
      <c r="K9" s="17"/>
      <c r="L9" s="14"/>
    </row>
    <row r="10" spans="1:12" ht="24.95" customHeight="1">
      <c r="A10" s="50" t="s">
        <v>580</v>
      </c>
      <c r="B10" s="50"/>
      <c r="C10" s="51"/>
      <c r="D10" s="52"/>
      <c r="E10" s="52"/>
      <c r="F10" s="52"/>
      <c r="G10" s="51"/>
      <c r="H10" s="52"/>
      <c r="I10" s="52"/>
      <c r="J10" s="51"/>
      <c r="K10" s="53"/>
      <c r="L10" s="50"/>
    </row>
    <row r="11" spans="1:12" ht="33.950000000000003" customHeight="1">
      <c r="A11" s="21" t="s">
        <v>16</v>
      </c>
      <c r="B11" s="21" t="s">
        <v>0</v>
      </c>
      <c r="C11" s="21" t="s">
        <v>1</v>
      </c>
      <c r="D11" s="22" t="s">
        <v>17</v>
      </c>
      <c r="E11" s="22" t="s">
        <v>18</v>
      </c>
      <c r="F11" s="22" t="s">
        <v>19</v>
      </c>
      <c r="G11" s="22" t="s">
        <v>20</v>
      </c>
      <c r="H11" s="22" t="s">
        <v>21</v>
      </c>
      <c r="I11" s="22" t="s">
        <v>22</v>
      </c>
      <c r="J11" s="22" t="s">
        <v>23</v>
      </c>
      <c r="K11" s="23" t="s">
        <v>24</v>
      </c>
      <c r="L11" s="21" t="s">
        <v>25</v>
      </c>
    </row>
    <row r="12" spans="1:12" ht="21" customHeight="1">
      <c r="A12" s="24" t="s">
        <v>98</v>
      </c>
      <c r="B12" s="24" t="s">
        <v>14</v>
      </c>
      <c r="C12" s="24" t="s">
        <v>12</v>
      </c>
      <c r="D12" s="25" t="s">
        <v>64</v>
      </c>
      <c r="E12" s="34">
        <f>COUNTIF('S0 Qualified Executions'!$B$2:$B$461,A12)</f>
        <v>10</v>
      </c>
      <c r="F12" s="30">
        <f>AVERAGEIF('S0 Qualified Executions'!$B$2:$B$461,A12,'S0 Qualified Executions'!$K$2:$K$461)</f>
        <v>639000</v>
      </c>
      <c r="G12" s="37">
        <f>_xlfn.STDEV.S(_xlfn._xlws.FILTER('S0 Qualified Executions'!$K$2:$K$461,'S0 Qualified Executions'!$B$2:$B$461=A12))</f>
        <v>2108.1851067789194</v>
      </c>
      <c r="H12" s="30">
        <f>AVERAGEIF('S0 Qualified Executions'!$B$2:$B$461,A12,'S0 Qualified Executions'!$L$2:$L$461)</f>
        <v>650000</v>
      </c>
      <c r="I12" s="31">
        <f t="shared" ref="I12:I39" si="0">ABS(F12-H12)/H12</f>
        <v>1.6923076923076923E-2</v>
      </c>
      <c r="J12" s="31">
        <f t="shared" ref="J12:J39" si="1">G12/F12</f>
        <v>3.2991942203112979E-3</v>
      </c>
      <c r="K12" s="32">
        <f t="shared" ref="K12:K39" si="2">(F12-H12)/H12</f>
        <v>-1.6923076923076923E-2</v>
      </c>
      <c r="L12" s="24" t="s">
        <v>65</v>
      </c>
    </row>
    <row r="13" spans="1:12" s="3" customFormat="1" ht="21" customHeight="1">
      <c r="A13" s="28" t="s">
        <v>99</v>
      </c>
      <c r="B13" s="28" t="s">
        <v>14</v>
      </c>
      <c r="C13" s="28" t="s">
        <v>12</v>
      </c>
      <c r="D13" s="29" t="s">
        <v>75</v>
      </c>
      <c r="E13" s="35">
        <f>COUNTIF('S0 Qualified Executions'!$B$2:$B$461,A13)</f>
        <v>10</v>
      </c>
      <c r="F13" s="36">
        <f>AVERAGEIF('S0 Qualified Executions'!$B$2:$B$461,A13,'S0 Qualified Executions'!$K$2:$K$461)</f>
        <v>673000</v>
      </c>
      <c r="G13" s="38">
        <f>_xlfn.STDEV.S(_xlfn._xlws.FILTER('S0 Qualified Executions'!$K$2:$K$461,'S0 Qualified Executions'!$B$2:$B$461=A13))</f>
        <v>4830.4589153964798</v>
      </c>
      <c r="H13" s="36">
        <f>AVERAGEIF('S0 Qualified Executions'!$B$2:$B$461,A13,'S0 Qualified Executions'!$L$2:$L$461)</f>
        <v>670000</v>
      </c>
      <c r="I13" s="39">
        <f t="shared" si="0"/>
        <v>4.4776119402985077E-3</v>
      </c>
      <c r="J13" s="39">
        <f t="shared" si="1"/>
        <v>7.1775021031151263E-3</v>
      </c>
      <c r="K13" s="40">
        <f t="shared" si="2"/>
        <v>4.4776119402985077E-3</v>
      </c>
      <c r="L13" s="28" t="s">
        <v>76</v>
      </c>
    </row>
    <row r="14" spans="1:12" ht="21" customHeight="1">
      <c r="A14" s="24" t="s">
        <v>100</v>
      </c>
      <c r="B14" s="24" t="s">
        <v>14</v>
      </c>
      <c r="C14" s="24" t="s">
        <v>12</v>
      </c>
      <c r="D14" s="25" t="s">
        <v>78</v>
      </c>
      <c r="E14" s="34">
        <f>COUNTIF('S0 Qualified Executions'!$B$2:$B$461,A14)</f>
        <v>10</v>
      </c>
      <c r="F14" s="30">
        <f>AVERAGEIF('S0 Qualified Executions'!$B$2:$B$461,A14,'S0 Qualified Executions'!$K$2:$K$461)</f>
        <v>781000</v>
      </c>
      <c r="G14" s="37">
        <f>_xlfn.STDEV.S(_xlfn._xlws.FILTER('S0 Qualified Executions'!$K$2:$K$461,'S0 Qualified Executions'!$B$2:$B$461=A14))</f>
        <v>5163.9777949432228</v>
      </c>
      <c r="H14" s="30">
        <f>AVERAGEIF('S0 Qualified Executions'!$B$2:$B$461,A14,'S0 Qualified Executions'!$L$2:$L$461)</f>
        <v>790000</v>
      </c>
      <c r="I14" s="31">
        <f t="shared" si="0"/>
        <v>1.1392405063291139E-2</v>
      </c>
      <c r="J14" s="31">
        <f t="shared" si="1"/>
        <v>6.6120074199016938E-3</v>
      </c>
      <c r="K14" s="32">
        <f t="shared" si="2"/>
        <v>-1.1392405063291139E-2</v>
      </c>
      <c r="L14" s="24" t="s">
        <v>79</v>
      </c>
    </row>
    <row r="15" spans="1:12" ht="21" customHeight="1">
      <c r="A15" s="24" t="s">
        <v>101</v>
      </c>
      <c r="B15" s="24" t="s">
        <v>14</v>
      </c>
      <c r="C15" s="24" t="s">
        <v>12</v>
      </c>
      <c r="D15" s="25" t="s">
        <v>81</v>
      </c>
      <c r="E15" s="34">
        <f>COUNTIF('S0 Qualified Executions'!$B$2:$B$461,A15)</f>
        <v>10</v>
      </c>
      <c r="F15" s="30">
        <f>AVERAGEIF('S0 Qualified Executions'!$B$2:$B$461,A15,'S0 Qualified Executions'!$K$2:$K$461)</f>
        <v>748750</v>
      </c>
      <c r="G15" s="37">
        <f>_xlfn.STDEV.S(_xlfn._xlws.FILTER('S0 Qualified Executions'!$K$2:$K$461,'S0 Qualified Executions'!$B$2:$B$461=A15))</f>
        <v>6373.7743919909808</v>
      </c>
      <c r="H15" s="30">
        <f>AVERAGEIF('S0 Qualified Executions'!$B$2:$B$461,A15,'S0 Qualified Executions'!$L$2:$L$461)</f>
        <v>749900</v>
      </c>
      <c r="I15" s="31">
        <f t="shared" si="0"/>
        <v>1.5335378050406721E-3</v>
      </c>
      <c r="J15" s="31">
        <f t="shared" si="1"/>
        <v>8.5125534450630792E-3</v>
      </c>
      <c r="K15" s="32">
        <f t="shared" si="2"/>
        <v>-1.5335378050406721E-3</v>
      </c>
      <c r="L15" s="24" t="s">
        <v>82</v>
      </c>
    </row>
    <row r="16" spans="1:12" ht="21" customHeight="1">
      <c r="A16" s="24" t="s">
        <v>102</v>
      </c>
      <c r="B16" s="24" t="s">
        <v>14</v>
      </c>
      <c r="C16" s="24" t="s">
        <v>12</v>
      </c>
      <c r="D16" s="25" t="s">
        <v>84</v>
      </c>
      <c r="E16" s="34">
        <f>COUNTIF('S0 Qualified Executions'!$B$2:$B$461,A16)</f>
        <v>10</v>
      </c>
      <c r="F16" s="30">
        <f>AVERAGEIF('S0 Qualified Executions'!$B$2:$B$461,A16,'S0 Qualified Executions'!$K$2:$K$461)</f>
        <v>641700</v>
      </c>
      <c r="G16" s="37">
        <f>_xlfn.STDEV.S(_xlfn._xlws.FILTER('S0 Qualified Executions'!$K$2:$K$461,'S0 Qualified Executions'!$B$2:$B$461=A16))</f>
        <v>4083.8435055444738</v>
      </c>
      <c r="H16" s="30">
        <f>AVERAGEIF('S0 Qualified Executions'!$B$2:$B$461,A16,'S0 Qualified Executions'!$L$2:$L$461)</f>
        <v>635000</v>
      </c>
      <c r="I16" s="31">
        <f t="shared" si="0"/>
        <v>1.0551181102362205E-2</v>
      </c>
      <c r="J16" s="31">
        <f t="shared" si="1"/>
        <v>6.3641008345714104E-3</v>
      </c>
      <c r="K16" s="32">
        <f t="shared" si="2"/>
        <v>1.0551181102362205E-2</v>
      </c>
      <c r="L16" s="24" t="s">
        <v>85</v>
      </c>
    </row>
    <row r="17" spans="1:12" ht="21" customHeight="1">
      <c r="A17" s="24" t="s">
        <v>103</v>
      </c>
      <c r="B17" s="24" t="s">
        <v>14</v>
      </c>
      <c r="C17" s="24" t="s">
        <v>12</v>
      </c>
      <c r="D17" s="25" t="s">
        <v>87</v>
      </c>
      <c r="E17" s="34">
        <f>COUNTIF('S0 Qualified Executions'!$B$2:$B$461,A17)</f>
        <v>10</v>
      </c>
      <c r="F17" s="30">
        <f>AVERAGEIF('S0 Qualified Executions'!$B$2:$B$461,A17,'S0 Qualified Executions'!$K$2:$K$461)</f>
        <v>647500</v>
      </c>
      <c r="G17" s="37">
        <f>_xlfn.STDEV.S(_xlfn._xlws.FILTER('S0 Qualified Executions'!$K$2:$K$461,'S0 Qualified Executions'!$B$2:$B$461=A17))</f>
        <v>2635.2313834736492</v>
      </c>
      <c r="H17" s="30">
        <f>AVERAGEIF('S0 Qualified Executions'!$B$2:$B$461,A17,'S0 Qualified Executions'!$L$2:$L$461)</f>
        <v>650000</v>
      </c>
      <c r="I17" s="31">
        <f t="shared" si="0"/>
        <v>3.8461538461538464E-3</v>
      </c>
      <c r="J17" s="31">
        <f t="shared" si="1"/>
        <v>4.0698554184921227E-3</v>
      </c>
      <c r="K17" s="32">
        <f t="shared" si="2"/>
        <v>-3.8461538461538464E-3</v>
      </c>
      <c r="L17" s="24" t="s">
        <v>88</v>
      </c>
    </row>
    <row r="18" spans="1:12" ht="21" customHeight="1">
      <c r="A18" s="24" t="s">
        <v>104</v>
      </c>
      <c r="B18" s="24" t="s">
        <v>14</v>
      </c>
      <c r="C18" s="24" t="s">
        <v>12</v>
      </c>
      <c r="D18" s="25" t="s">
        <v>90</v>
      </c>
      <c r="E18" s="34">
        <f>COUNTIF('S0 Qualified Executions'!$B$2:$B$461,A18)</f>
        <v>10</v>
      </c>
      <c r="F18" s="30">
        <f>AVERAGEIF('S0 Qualified Executions'!$B$2:$B$461,A18,'S0 Qualified Executions'!$K$2:$K$461)</f>
        <v>607900</v>
      </c>
      <c r="G18" s="37">
        <f>_xlfn.STDEV.S(_xlfn._xlws.FILTER('S0 Qualified Executions'!$K$2:$K$461,'S0 Qualified Executions'!$B$2:$B$461=A18))</f>
        <v>12142.212868062121</v>
      </c>
      <c r="H18" s="30">
        <f>AVERAGEIF('S0 Qualified Executions'!$B$2:$B$461,A18,'S0 Qualified Executions'!$L$2:$L$461)</f>
        <v>580000</v>
      </c>
      <c r="I18" s="31">
        <f t="shared" si="0"/>
        <v>4.8103448275862069E-2</v>
      </c>
      <c r="J18" s="31">
        <f t="shared" si="1"/>
        <v>1.9974030051097418E-2</v>
      </c>
      <c r="K18" s="32">
        <f t="shared" si="2"/>
        <v>4.8103448275862069E-2</v>
      </c>
      <c r="L18" s="24" t="s">
        <v>91</v>
      </c>
    </row>
    <row r="19" spans="1:12" ht="21" customHeight="1">
      <c r="A19" s="24" t="s">
        <v>105</v>
      </c>
      <c r="B19" s="24" t="s">
        <v>14</v>
      </c>
      <c r="C19" s="24" t="s">
        <v>12</v>
      </c>
      <c r="D19" s="25" t="s">
        <v>93</v>
      </c>
      <c r="E19" s="34">
        <f>COUNTIF('S0 Qualified Executions'!$B$2:$B$461,A19)</f>
        <v>10</v>
      </c>
      <c r="F19" s="30">
        <f>AVERAGEIF('S0 Qualified Executions'!$B$2:$B$461,A19,'S0 Qualified Executions'!$K$2:$K$461)</f>
        <v>725500</v>
      </c>
      <c r="G19" s="37">
        <f>_xlfn.STDEV.S(_xlfn._xlws.FILTER('S0 Qualified Executions'!$K$2:$K$461,'S0 Qualified Executions'!$B$2:$B$461=A19))</f>
        <v>5502.5246730730587</v>
      </c>
      <c r="H19" s="30">
        <f>AVERAGEIF('S0 Qualified Executions'!$B$2:$B$461,A19,'S0 Qualified Executions'!$L$2:$L$461)</f>
        <v>725000</v>
      </c>
      <c r="I19" s="31">
        <f t="shared" si="0"/>
        <v>6.8965517241379305E-4</v>
      </c>
      <c r="J19" s="31">
        <f t="shared" si="1"/>
        <v>7.5844585431744434E-3</v>
      </c>
      <c r="K19" s="32">
        <f t="shared" si="2"/>
        <v>6.8965517241379305E-4</v>
      </c>
      <c r="L19" s="24" t="s">
        <v>94</v>
      </c>
    </row>
    <row r="20" spans="1:12" ht="21" customHeight="1">
      <c r="A20" s="24" t="s">
        <v>106</v>
      </c>
      <c r="B20" s="24" t="s">
        <v>14</v>
      </c>
      <c r="C20" s="24" t="s">
        <v>12</v>
      </c>
      <c r="D20" s="25" t="s">
        <v>96</v>
      </c>
      <c r="E20" s="34">
        <f>COUNTIF('S0 Qualified Executions'!$B$2:$B$461,A20)</f>
        <v>10</v>
      </c>
      <c r="F20" s="30">
        <f>AVERAGEIF('S0 Qualified Executions'!$B$2:$B$461,A20,'S0 Qualified Executions'!$K$2:$K$461)</f>
        <v>607500</v>
      </c>
      <c r="G20" s="37">
        <f>_xlfn.STDEV.S(_xlfn._xlws.FILTER('S0 Qualified Executions'!$K$2:$K$461,'S0 Qualified Executions'!$B$2:$B$461=A20))</f>
        <v>4249.1829279939875</v>
      </c>
      <c r="H20" s="30">
        <f>AVERAGEIF('S0 Qualified Executions'!$B$2:$B$461,A20,'S0 Qualified Executions'!$L$2:$L$461)</f>
        <v>600000</v>
      </c>
      <c r="I20" s="31">
        <f t="shared" si="0"/>
        <v>1.2500000000000001E-2</v>
      </c>
      <c r="J20" s="31">
        <f t="shared" si="1"/>
        <v>6.9945397991670573E-3</v>
      </c>
      <c r="K20" s="32">
        <f t="shared" si="2"/>
        <v>1.2500000000000001E-2</v>
      </c>
      <c r="L20" s="24" t="s">
        <v>97</v>
      </c>
    </row>
    <row r="21" spans="1:12" ht="21" customHeight="1">
      <c r="A21" s="41" t="s">
        <v>107</v>
      </c>
      <c r="B21" s="41" t="s">
        <v>15</v>
      </c>
      <c r="C21" s="41" t="s">
        <v>12</v>
      </c>
      <c r="D21" s="42" t="s">
        <v>108</v>
      </c>
      <c r="E21" s="43">
        <f>COUNTIF('S0 Qualified Executions'!$B$2:$B$461,A21)</f>
        <v>10</v>
      </c>
      <c r="F21" s="44">
        <f>AVERAGEIF('S0 Qualified Executions'!$B$2:$B$461,A21,'S0 Qualified Executions'!$K$2:$K$461)</f>
        <v>714250</v>
      </c>
      <c r="G21" s="45">
        <f>_xlfn.STDEV.S(_xlfn._xlws.FILTER('S0 Qualified Executions'!$K$2:$K$461,'S0 Qualified Executions'!$B$2:$B$461=A21))</f>
        <v>2898.7545218210144</v>
      </c>
      <c r="H21" s="44">
        <f>AVERAGEIF('S0 Qualified Executions'!$B$2:$B$461,A21,'S0 Qualified Executions'!$L$2:$L$461)</f>
        <v>720000</v>
      </c>
      <c r="I21" s="46">
        <f t="shared" si="0"/>
        <v>7.9861111111111105E-3</v>
      </c>
      <c r="J21" s="46">
        <f t="shared" si="1"/>
        <v>4.0584592535120954E-3</v>
      </c>
      <c r="K21" s="47">
        <f t="shared" si="2"/>
        <v>-7.9861111111111105E-3</v>
      </c>
      <c r="L21" s="41" t="s">
        <v>43</v>
      </c>
    </row>
    <row r="22" spans="1:12" ht="21" customHeight="1">
      <c r="A22" s="24" t="s">
        <v>53</v>
      </c>
      <c r="B22" s="24" t="s">
        <v>10</v>
      </c>
      <c r="C22" s="24" t="s">
        <v>12</v>
      </c>
      <c r="D22" s="25" t="s">
        <v>27</v>
      </c>
      <c r="E22" s="34">
        <f>COUNTIF('S0 Qualified Executions'!$B$2:$B$461,A22)</f>
        <v>10</v>
      </c>
      <c r="F22" s="30">
        <f>AVERAGEIF('S0 Qualified Executions'!$B$2:$B$461,A22,'S0 Qualified Executions'!$K$2:$K$461)</f>
        <v>545750</v>
      </c>
      <c r="G22" s="37">
        <f>_xlfn.STDEV.S(_xlfn._xlws.FILTER('S0 Qualified Executions'!$K$2:$K$461,'S0 Qualified Executions'!$B$2:$B$461=A22))</f>
        <v>2898.7545218210144</v>
      </c>
      <c r="H22" s="30">
        <f>AVERAGEIF('S0 Qualified Executions'!$B$2:$B$461,A22,'S0 Qualified Executions'!$L$2:$L$461)</f>
        <v>518700</v>
      </c>
      <c r="I22" s="31">
        <f t="shared" si="0"/>
        <v>5.2149604781183731E-2</v>
      </c>
      <c r="J22" s="31">
        <f t="shared" si="1"/>
        <v>5.3115062241337867E-3</v>
      </c>
      <c r="K22" s="32">
        <f t="shared" si="2"/>
        <v>5.2149604781183731E-2</v>
      </c>
      <c r="L22" s="24" t="s">
        <v>28</v>
      </c>
    </row>
    <row r="23" spans="1:12" ht="21" customHeight="1">
      <c r="A23" s="24" t="s">
        <v>54</v>
      </c>
      <c r="B23" s="24" t="s">
        <v>10</v>
      </c>
      <c r="C23" s="24" t="s">
        <v>12</v>
      </c>
      <c r="D23" s="25" t="s">
        <v>30</v>
      </c>
      <c r="E23" s="34">
        <f>COUNTIF('S0 Qualified Executions'!$B$2:$B$461,A23)</f>
        <v>10</v>
      </c>
      <c r="F23" s="30">
        <f>AVERAGEIF('S0 Qualified Executions'!$B$2:$B$461,A23,'S0 Qualified Executions'!$K$2:$K$461)</f>
        <v>683000</v>
      </c>
      <c r="G23" s="37">
        <f>_xlfn.STDEV.S(_xlfn._xlws.FILTER('S0 Qualified Executions'!$K$2:$K$461,'S0 Qualified Executions'!$B$2:$B$461=A23))</f>
        <v>6749.485577105529</v>
      </c>
      <c r="H23" s="30">
        <f>AVERAGEIF('S0 Qualified Executions'!$B$2:$B$461,A23,'S0 Qualified Executions'!$L$2:$L$461)</f>
        <v>675000</v>
      </c>
      <c r="I23" s="31">
        <f t="shared" si="0"/>
        <v>1.1851851851851851E-2</v>
      </c>
      <c r="J23" s="31">
        <f t="shared" si="1"/>
        <v>9.882116511135474E-3</v>
      </c>
      <c r="K23" s="32">
        <f t="shared" si="2"/>
        <v>1.1851851851851851E-2</v>
      </c>
      <c r="L23" s="24" t="s">
        <v>31</v>
      </c>
    </row>
    <row r="24" spans="1:12" ht="21" customHeight="1">
      <c r="A24" s="24" t="s">
        <v>55</v>
      </c>
      <c r="B24" s="24" t="s">
        <v>10</v>
      </c>
      <c r="C24" s="24" t="s">
        <v>12</v>
      </c>
      <c r="D24" s="25" t="s">
        <v>33</v>
      </c>
      <c r="E24" s="34">
        <f>COUNTIF('S0 Qualified Executions'!$B$2:$B$461,A24)</f>
        <v>10</v>
      </c>
      <c r="F24" s="30">
        <f>AVERAGEIF('S0 Qualified Executions'!$B$2:$B$461,A24,'S0 Qualified Executions'!$K$2:$K$461)</f>
        <v>663000</v>
      </c>
      <c r="G24" s="37">
        <f>_xlfn.STDEV.S(_xlfn._xlws.FILTER('S0 Qualified Executions'!$K$2:$K$461,'S0 Qualified Executions'!$B$2:$B$461=A24))</f>
        <v>13581.032524975575</v>
      </c>
      <c r="H24" s="30">
        <f>AVERAGEIF('S0 Qualified Executions'!$B$2:$B$461,A24,'S0 Qualified Executions'!$L$2:$L$461)</f>
        <v>620000</v>
      </c>
      <c r="I24" s="31">
        <f t="shared" si="0"/>
        <v>6.9354838709677416E-2</v>
      </c>
      <c r="J24" s="31">
        <f t="shared" si="1"/>
        <v>2.0484211953205995E-2</v>
      </c>
      <c r="K24" s="32">
        <f t="shared" si="2"/>
        <v>6.9354838709677416E-2</v>
      </c>
      <c r="L24" s="24" t="s">
        <v>34</v>
      </c>
    </row>
    <row r="25" spans="1:12" ht="21" customHeight="1">
      <c r="A25" s="24" t="s">
        <v>56</v>
      </c>
      <c r="B25" s="24" t="s">
        <v>10</v>
      </c>
      <c r="C25" s="24" t="s">
        <v>12</v>
      </c>
      <c r="D25" s="25" t="s">
        <v>36</v>
      </c>
      <c r="E25" s="34">
        <f>COUNTIF('S0 Qualified Executions'!$B$2:$B$461,A25)</f>
        <v>10</v>
      </c>
      <c r="F25" s="30">
        <f>AVERAGEIF('S0 Qualified Executions'!$B$2:$B$461,A25,'S0 Qualified Executions'!$K$2:$K$461)</f>
        <v>663500</v>
      </c>
      <c r="G25" s="37">
        <f>_xlfn.STDEV.S(_xlfn._xlws.FILTER('S0 Qualified Executions'!$K$2:$K$461,'S0 Qualified Executions'!$B$2:$B$461=A25))</f>
        <v>6687.4675492462929</v>
      </c>
      <c r="H25" s="30">
        <f>AVERAGEIF('S0 Qualified Executions'!$B$2:$B$461,A25,'S0 Qualified Executions'!$L$2:$L$461)</f>
        <v>654200</v>
      </c>
      <c r="I25" s="31">
        <f t="shared" si="0"/>
        <v>1.4215836135738307E-2</v>
      </c>
      <c r="J25" s="31">
        <f t="shared" si="1"/>
        <v>1.0079076939331263E-2</v>
      </c>
      <c r="K25" s="32">
        <f t="shared" si="2"/>
        <v>1.4215836135738307E-2</v>
      </c>
      <c r="L25" s="24" t="s">
        <v>37</v>
      </c>
    </row>
    <row r="26" spans="1:12" ht="21" customHeight="1">
      <c r="A26" s="24" t="s">
        <v>57</v>
      </c>
      <c r="B26" s="24" t="s">
        <v>10</v>
      </c>
      <c r="C26" s="24" t="s">
        <v>12</v>
      </c>
      <c r="D26" s="25" t="s">
        <v>39</v>
      </c>
      <c r="E26" s="34">
        <f>COUNTIF('S0 Qualified Executions'!$B$2:$B$461,A26)</f>
        <v>10</v>
      </c>
      <c r="F26" s="30">
        <f>AVERAGEIF('S0 Qualified Executions'!$B$2:$B$461,A26,'S0 Qualified Executions'!$K$2:$K$461)</f>
        <v>894000</v>
      </c>
      <c r="G26" s="37">
        <f>_xlfn.STDEV.S(_xlfn._xlws.FILTER('S0 Qualified Executions'!$K$2:$K$461,'S0 Qualified Executions'!$B$2:$B$461=A26))</f>
        <v>5163.9777949432228</v>
      </c>
      <c r="H26" s="30">
        <f>AVERAGEIF('S0 Qualified Executions'!$B$2:$B$461,A26,'S0 Qualified Executions'!$L$2:$L$461)</f>
        <v>910000</v>
      </c>
      <c r="I26" s="31">
        <f t="shared" si="0"/>
        <v>1.7582417582417582E-2</v>
      </c>
      <c r="J26" s="31">
        <f t="shared" si="1"/>
        <v>5.7762615155964462E-3</v>
      </c>
      <c r="K26" s="32">
        <f t="shared" si="2"/>
        <v>-1.7582417582417582E-2</v>
      </c>
      <c r="L26" s="24" t="s">
        <v>40</v>
      </c>
    </row>
    <row r="27" spans="1:12" ht="21" customHeight="1">
      <c r="A27" s="24" t="s">
        <v>58</v>
      </c>
      <c r="B27" s="24" t="s">
        <v>10</v>
      </c>
      <c r="C27" s="24" t="s">
        <v>12</v>
      </c>
      <c r="D27" s="25" t="s">
        <v>42</v>
      </c>
      <c r="E27" s="34">
        <f>COUNTIF('S0 Qualified Executions'!$B$2:$B$461,A27)</f>
        <v>10</v>
      </c>
      <c r="F27" s="30">
        <f>AVERAGEIF('S0 Qualified Executions'!$B$2:$B$461,A27,'S0 Qualified Executions'!$K$2:$K$461)</f>
        <v>601500</v>
      </c>
      <c r="G27" s="37">
        <f>_xlfn.STDEV.S(_xlfn._xlws.FILTER('S0 Qualified Executions'!$K$2:$K$461,'S0 Qualified Executions'!$B$2:$B$461=A27))</f>
        <v>3374.7427885527645</v>
      </c>
      <c r="H27" s="30">
        <f>AVERAGEIF('S0 Qualified Executions'!$B$2:$B$461,A27,'S0 Qualified Executions'!$L$2:$L$461)</f>
        <v>580000</v>
      </c>
      <c r="I27" s="31">
        <f t="shared" si="0"/>
        <v>3.7068965517241377E-2</v>
      </c>
      <c r="J27" s="31">
        <f t="shared" si="1"/>
        <v>5.6105449518749203E-3</v>
      </c>
      <c r="K27" s="32">
        <f t="shared" si="2"/>
        <v>3.7068965517241377E-2</v>
      </c>
      <c r="L27" s="24" t="s">
        <v>43</v>
      </c>
    </row>
    <row r="28" spans="1:12" ht="21" customHeight="1">
      <c r="A28" s="24" t="s">
        <v>59</v>
      </c>
      <c r="B28" s="24" t="s">
        <v>10</v>
      </c>
      <c r="C28" s="24" t="s">
        <v>12</v>
      </c>
      <c r="D28" s="25" t="s">
        <v>45</v>
      </c>
      <c r="E28" s="34">
        <f>COUNTIF('S0 Qualified Executions'!$B$2:$B$461,A28)</f>
        <v>10</v>
      </c>
      <c r="F28" s="30">
        <f>AVERAGEIF('S0 Qualified Executions'!$B$2:$B$461,A28,'S0 Qualified Executions'!$K$2:$K$461)</f>
        <v>793000</v>
      </c>
      <c r="G28" s="37">
        <f>_xlfn.STDEV.S(_xlfn._xlws.FILTER('S0 Qualified Executions'!$K$2:$K$461,'S0 Qualified Executions'!$B$2:$B$461=A28))</f>
        <v>7149.2035298424053</v>
      </c>
      <c r="H28" s="30">
        <f>AVERAGEIF('S0 Qualified Executions'!$B$2:$B$461,A28,'S0 Qualified Executions'!$L$2:$L$461)</f>
        <v>815000</v>
      </c>
      <c r="I28" s="31">
        <f t="shared" si="0"/>
        <v>2.6993865030674847E-2</v>
      </c>
      <c r="J28" s="31">
        <f t="shared" si="1"/>
        <v>9.015389066636072E-3</v>
      </c>
      <c r="K28" s="32">
        <f t="shared" si="2"/>
        <v>-2.6993865030674847E-2</v>
      </c>
      <c r="L28" s="24" t="s">
        <v>46</v>
      </c>
    </row>
    <row r="29" spans="1:12" ht="21" customHeight="1">
      <c r="A29" s="24" t="s">
        <v>60</v>
      </c>
      <c r="B29" s="24" t="s">
        <v>10</v>
      </c>
      <c r="C29" s="24" t="s">
        <v>12</v>
      </c>
      <c r="D29" s="25" t="s">
        <v>48</v>
      </c>
      <c r="E29" s="34">
        <f>COUNTIF('S0 Qualified Executions'!$B$2:$B$461,A29)</f>
        <v>10</v>
      </c>
      <c r="F29" s="30">
        <f>AVERAGEIF('S0 Qualified Executions'!$B$2:$B$461,A29,'S0 Qualified Executions'!$K$2:$K$461)</f>
        <v>849000</v>
      </c>
      <c r="G29" s="37">
        <f>_xlfn.STDEV.S(_xlfn._xlws.FILTER('S0 Qualified Executions'!$K$2:$K$461,'S0 Qualified Executions'!$B$2:$B$461=A29))</f>
        <v>11254.628677422756</v>
      </c>
      <c r="H29" s="30">
        <f>AVERAGEIF('S0 Qualified Executions'!$B$2:$B$461,A29,'S0 Qualified Executions'!$L$2:$L$461)</f>
        <v>845000</v>
      </c>
      <c r="I29" s="31">
        <f t="shared" si="0"/>
        <v>4.7337278106508876E-3</v>
      </c>
      <c r="J29" s="31">
        <f t="shared" si="1"/>
        <v>1.3256335309096296E-2</v>
      </c>
      <c r="K29" s="32">
        <f t="shared" si="2"/>
        <v>4.7337278106508876E-3</v>
      </c>
      <c r="L29" s="24" t="s">
        <v>49</v>
      </c>
    </row>
    <row r="30" spans="1:12" ht="21" customHeight="1">
      <c r="A30" s="24" t="s">
        <v>61</v>
      </c>
      <c r="B30" s="24" t="s">
        <v>10</v>
      </c>
      <c r="C30" s="24" t="s">
        <v>12</v>
      </c>
      <c r="D30" s="25" t="s">
        <v>51</v>
      </c>
      <c r="E30" s="34">
        <f>COUNTIF('S0 Qualified Executions'!$B$2:$B$461,A30)</f>
        <v>10</v>
      </c>
      <c r="F30" s="30">
        <f>AVERAGEIF('S0 Qualified Executions'!$B$2:$B$461,A30,'S0 Qualified Executions'!$K$2:$K$461)</f>
        <v>644700</v>
      </c>
      <c r="G30" s="37">
        <f>_xlfn.STDEV.S(_xlfn._xlws.FILTER('S0 Qualified Executions'!$K$2:$K$461,'S0 Qualified Executions'!$B$2:$B$461=A30))</f>
        <v>2540.7785333546008</v>
      </c>
      <c r="H30" s="30">
        <f>AVERAGEIF('S0 Qualified Executions'!$B$2:$B$461,A30,'S0 Qualified Executions'!$L$2:$L$461)</f>
        <v>610000</v>
      </c>
      <c r="I30" s="31">
        <f t="shared" si="0"/>
        <v>5.6885245901639347E-2</v>
      </c>
      <c r="J30" s="31">
        <f t="shared" si="1"/>
        <v>3.941024559259502E-3</v>
      </c>
      <c r="K30" s="32">
        <f t="shared" si="2"/>
        <v>5.6885245901639347E-2</v>
      </c>
      <c r="L30" s="24" t="s">
        <v>52</v>
      </c>
    </row>
    <row r="31" spans="1:12" ht="21" customHeight="1">
      <c r="A31" s="24" t="s">
        <v>62</v>
      </c>
      <c r="B31" s="24" t="s">
        <v>13</v>
      </c>
      <c r="C31" s="24" t="s">
        <v>12</v>
      </c>
      <c r="D31" s="25" t="s">
        <v>27</v>
      </c>
      <c r="E31" s="34">
        <f>COUNTIF('S0 Qualified Executions'!$B$2:$B$461,A31)</f>
        <v>10</v>
      </c>
      <c r="F31" s="30">
        <f>AVERAGEIF('S0 Qualified Executions'!$B$2:$B$461,A31,'S0 Qualified Executions'!$K$2:$K$461)</f>
        <v>555250</v>
      </c>
      <c r="G31" s="37">
        <f>_xlfn.STDEV.S(_xlfn._xlws.FILTER('S0 Qualified Executions'!$K$2:$K$461,'S0 Qualified Executions'!$B$2:$B$461=A31))</f>
        <v>4158.3249832915499</v>
      </c>
      <c r="H31" s="30">
        <f>AVERAGEIF('S0 Qualified Executions'!$B$2:$B$461,A31,'S0 Qualified Executions'!$L$2:$L$461)</f>
        <v>518700</v>
      </c>
      <c r="I31" s="31">
        <f t="shared" si="0"/>
        <v>7.046462309620205E-2</v>
      </c>
      <c r="J31" s="31">
        <f t="shared" si="1"/>
        <v>7.4891039771122015E-3</v>
      </c>
      <c r="K31" s="32">
        <f t="shared" si="2"/>
        <v>7.046462309620205E-2</v>
      </c>
      <c r="L31" s="24" t="s">
        <v>28</v>
      </c>
    </row>
    <row r="32" spans="1:12" ht="21" customHeight="1">
      <c r="A32" s="24" t="s">
        <v>63</v>
      </c>
      <c r="B32" s="24" t="s">
        <v>13</v>
      </c>
      <c r="C32" s="24" t="s">
        <v>12</v>
      </c>
      <c r="D32" s="25" t="s">
        <v>64</v>
      </c>
      <c r="E32" s="34">
        <f>COUNTIF('S0 Qualified Executions'!$B$2:$B$461,A32)</f>
        <v>10</v>
      </c>
      <c r="F32" s="30">
        <f>AVERAGEIF('S0 Qualified Executions'!$B$2:$B$461,A32,'S0 Qualified Executions'!$K$2:$K$461)</f>
        <v>638000</v>
      </c>
      <c r="G32" s="37">
        <f>_xlfn.STDEV.S(_xlfn._xlws.FILTER('S0 Qualified Executions'!$K$2:$K$461,'S0 Qualified Executions'!$B$2:$B$461=A32))</f>
        <v>6749.485577105529</v>
      </c>
      <c r="H32" s="30">
        <f>AVERAGEIF('S0 Qualified Executions'!$B$2:$B$461,A32,'S0 Qualified Executions'!$L$2:$L$461)</f>
        <v>650000</v>
      </c>
      <c r="I32" s="31">
        <f t="shared" si="0"/>
        <v>1.8461538461538463E-2</v>
      </c>
      <c r="J32" s="31">
        <f t="shared" si="1"/>
        <v>1.0579130998598007E-2</v>
      </c>
      <c r="K32" s="32">
        <f t="shared" si="2"/>
        <v>-1.8461538461538463E-2</v>
      </c>
      <c r="L32" s="24" t="s">
        <v>65</v>
      </c>
    </row>
    <row r="33" spans="1:12" ht="21" customHeight="1">
      <c r="A33" s="24" t="s">
        <v>66</v>
      </c>
      <c r="B33" s="24" t="s">
        <v>13</v>
      </c>
      <c r="C33" s="24" t="s">
        <v>12</v>
      </c>
      <c r="D33" s="25" t="s">
        <v>30</v>
      </c>
      <c r="E33" s="34">
        <f>COUNTIF('S0 Qualified Executions'!$B$2:$B$461,A33)</f>
        <v>10</v>
      </c>
      <c r="F33" s="30">
        <f>AVERAGEIF('S0 Qualified Executions'!$B$2:$B$461,A33,'S0 Qualified Executions'!$K$2:$K$461)</f>
        <v>693500</v>
      </c>
      <c r="G33" s="37">
        <f>_xlfn.STDEV.S(_xlfn._xlws.FILTER('S0 Qualified Executions'!$K$2:$K$461,'S0 Qualified Executions'!$B$2:$B$461=A33))</f>
        <v>3374.7427885527645</v>
      </c>
      <c r="H33" s="30">
        <f>AVERAGEIF('S0 Qualified Executions'!$B$2:$B$461,A33,'S0 Qualified Executions'!$L$2:$L$461)</f>
        <v>675000</v>
      </c>
      <c r="I33" s="31">
        <f t="shared" si="0"/>
        <v>2.7407407407407408E-2</v>
      </c>
      <c r="J33" s="31">
        <f t="shared" si="1"/>
        <v>4.8662477124048519E-3</v>
      </c>
      <c r="K33" s="32">
        <f t="shared" si="2"/>
        <v>2.7407407407407408E-2</v>
      </c>
      <c r="L33" s="24" t="s">
        <v>31</v>
      </c>
    </row>
    <row r="34" spans="1:12" ht="21" customHeight="1">
      <c r="A34" s="24" t="s">
        <v>67</v>
      </c>
      <c r="B34" s="24" t="s">
        <v>13</v>
      </c>
      <c r="C34" s="24" t="s">
        <v>12</v>
      </c>
      <c r="D34" s="25" t="s">
        <v>33</v>
      </c>
      <c r="E34" s="34">
        <f>COUNTIF('S0 Qualified Executions'!$B$2:$B$461,A34)</f>
        <v>10</v>
      </c>
      <c r="F34" s="30">
        <f>AVERAGEIF('S0 Qualified Executions'!$B$2:$B$461,A34,'S0 Qualified Executions'!$K$2:$K$461)</f>
        <v>657250</v>
      </c>
      <c r="G34" s="37">
        <f>_xlfn.STDEV.S(_xlfn._xlws.FILTER('S0 Qualified Executions'!$K$2:$K$461,'S0 Qualified Executions'!$B$2:$B$461=A34))</f>
        <v>5827.3779123490294</v>
      </c>
      <c r="H34" s="30">
        <f>AVERAGEIF('S0 Qualified Executions'!$B$2:$B$461,A34,'S0 Qualified Executions'!$L$2:$L$461)</f>
        <v>620000</v>
      </c>
      <c r="I34" s="31">
        <f t="shared" si="0"/>
        <v>6.0080645161290323E-2</v>
      </c>
      <c r="J34" s="31">
        <f t="shared" si="1"/>
        <v>8.8663034041065493E-3</v>
      </c>
      <c r="K34" s="32">
        <f t="shared" si="2"/>
        <v>6.0080645161290323E-2</v>
      </c>
      <c r="L34" s="24" t="s">
        <v>34</v>
      </c>
    </row>
    <row r="35" spans="1:12" ht="21" customHeight="1">
      <c r="A35" s="24" t="s">
        <v>68</v>
      </c>
      <c r="B35" s="24" t="s">
        <v>13</v>
      </c>
      <c r="C35" s="24" t="s">
        <v>12</v>
      </c>
      <c r="D35" s="25" t="s">
        <v>39</v>
      </c>
      <c r="E35" s="34">
        <f>COUNTIF('S0 Qualified Executions'!$B$2:$B$461,A35)</f>
        <v>10</v>
      </c>
      <c r="F35" s="30">
        <f>AVERAGEIF('S0 Qualified Executions'!$B$2:$B$461,A35,'S0 Qualified Executions'!$K$2:$K$461)</f>
        <v>903000</v>
      </c>
      <c r="G35" s="37">
        <f>_xlfn.STDEV.S(_xlfn._xlws.FILTER('S0 Qualified Executions'!$K$2:$K$461,'S0 Qualified Executions'!$B$2:$B$461=A35))</f>
        <v>5868.938953886337</v>
      </c>
      <c r="H35" s="30">
        <f>AVERAGEIF('S0 Qualified Executions'!$B$2:$B$461,A35,'S0 Qualified Executions'!$L$2:$L$461)</f>
        <v>910000</v>
      </c>
      <c r="I35" s="31">
        <f t="shared" si="0"/>
        <v>7.6923076923076927E-3</v>
      </c>
      <c r="J35" s="31">
        <f t="shared" si="1"/>
        <v>6.4993786864743488E-3</v>
      </c>
      <c r="K35" s="32">
        <f t="shared" si="2"/>
        <v>-7.6923076923076927E-3</v>
      </c>
      <c r="L35" s="24" t="s">
        <v>40</v>
      </c>
    </row>
    <row r="36" spans="1:12" ht="21" customHeight="1">
      <c r="A36" s="24" t="s">
        <v>69</v>
      </c>
      <c r="B36" s="24" t="s">
        <v>13</v>
      </c>
      <c r="C36" s="24" t="s">
        <v>12</v>
      </c>
      <c r="D36" s="25" t="s">
        <v>42</v>
      </c>
      <c r="E36" s="34">
        <f>COUNTIF('S0 Qualified Executions'!$B$2:$B$461,A36)</f>
        <v>10</v>
      </c>
      <c r="F36" s="30">
        <f>AVERAGEIF('S0 Qualified Executions'!$B$2:$B$461,A36,'S0 Qualified Executions'!$K$2:$K$461)</f>
        <v>610500</v>
      </c>
      <c r="G36" s="37">
        <f>_xlfn.STDEV.S(_xlfn._xlws.FILTER('S0 Qualified Executions'!$K$2:$K$461,'S0 Qualified Executions'!$B$2:$B$461=A36))</f>
        <v>4972.1446300587659</v>
      </c>
      <c r="H36" s="30">
        <f>AVERAGEIF('S0 Qualified Executions'!$B$2:$B$461,A36,'S0 Qualified Executions'!$L$2:$L$461)</f>
        <v>580000</v>
      </c>
      <c r="I36" s="31">
        <f t="shared" si="0"/>
        <v>5.2586206896551725E-2</v>
      </c>
      <c r="J36" s="31">
        <f t="shared" si="1"/>
        <v>8.1443810484173075E-3</v>
      </c>
      <c r="K36" s="32">
        <f t="shared" si="2"/>
        <v>5.2586206896551725E-2</v>
      </c>
      <c r="L36" s="24" t="s">
        <v>43</v>
      </c>
    </row>
    <row r="37" spans="1:12" ht="21" customHeight="1">
      <c r="A37" s="24" t="s">
        <v>70</v>
      </c>
      <c r="B37" s="24" t="s">
        <v>13</v>
      </c>
      <c r="C37" s="24" t="s">
        <v>12</v>
      </c>
      <c r="D37" s="25" t="s">
        <v>45</v>
      </c>
      <c r="E37" s="34">
        <f>COUNTIF('S0 Qualified Executions'!$B$2:$B$461,A37)</f>
        <v>10</v>
      </c>
      <c r="F37" s="30">
        <f>AVERAGEIF('S0 Qualified Executions'!$B$2:$B$461,A37,'S0 Qualified Executions'!$K$2:$K$461)</f>
        <v>803000</v>
      </c>
      <c r="G37" s="37">
        <f>_xlfn.STDEV.S(_xlfn._xlws.FILTER('S0 Qualified Executions'!$K$2:$K$461,'S0 Qualified Executions'!$B$2:$B$461=A37))</f>
        <v>4216.3702135578387</v>
      </c>
      <c r="H37" s="30">
        <f>AVERAGEIF('S0 Qualified Executions'!$B$2:$B$461,A37,'S0 Qualified Executions'!$L$2:$L$461)</f>
        <v>815000</v>
      </c>
      <c r="I37" s="31">
        <f t="shared" si="0"/>
        <v>1.4723926380368098E-2</v>
      </c>
      <c r="J37" s="31">
        <f t="shared" si="1"/>
        <v>5.2507723705577068E-3</v>
      </c>
      <c r="K37" s="32">
        <f t="shared" si="2"/>
        <v>-1.4723926380368098E-2</v>
      </c>
      <c r="L37" s="24" t="s">
        <v>46</v>
      </c>
    </row>
    <row r="38" spans="1:12" ht="21" customHeight="1">
      <c r="A38" s="24" t="s">
        <v>71</v>
      </c>
      <c r="B38" s="24" t="s">
        <v>13</v>
      </c>
      <c r="C38" s="24" t="s">
        <v>12</v>
      </c>
      <c r="D38" s="25" t="s">
        <v>48</v>
      </c>
      <c r="E38" s="34">
        <f>COUNTIF('S0 Qualified Executions'!$B$2:$B$461,A38)</f>
        <v>10</v>
      </c>
      <c r="F38" s="30">
        <f>AVERAGEIF('S0 Qualified Executions'!$B$2:$B$461,A38,'S0 Qualified Executions'!$K$2:$K$461)</f>
        <v>860500</v>
      </c>
      <c r="G38" s="37">
        <f>_xlfn.STDEV.S(_xlfn._xlws.FILTER('S0 Qualified Executions'!$K$2:$K$461,'S0 Qualified Executions'!$B$2:$B$461=A38))</f>
        <v>4972.1446300587659</v>
      </c>
      <c r="H38" s="30">
        <f>AVERAGEIF('S0 Qualified Executions'!$B$2:$B$461,A38,'S0 Qualified Executions'!$L$2:$L$461)</f>
        <v>845000</v>
      </c>
      <c r="I38" s="31">
        <f t="shared" si="0"/>
        <v>1.8343195266272188E-2</v>
      </c>
      <c r="J38" s="31">
        <f t="shared" si="1"/>
        <v>5.7782041023344173E-3</v>
      </c>
      <c r="K38" s="32">
        <f t="shared" si="2"/>
        <v>1.8343195266272188E-2</v>
      </c>
      <c r="L38" s="24" t="s">
        <v>49</v>
      </c>
    </row>
    <row r="39" spans="1:12" ht="21" customHeight="1">
      <c r="A39" s="24" t="s">
        <v>72</v>
      </c>
      <c r="B39" s="24" t="s">
        <v>13</v>
      </c>
      <c r="C39" s="24" t="s">
        <v>12</v>
      </c>
      <c r="D39" s="25" t="s">
        <v>51</v>
      </c>
      <c r="E39" s="34">
        <f>COUNTIF('S0 Qualified Executions'!$B$2:$B$461,A39)</f>
        <v>10</v>
      </c>
      <c r="F39" s="30">
        <f>AVERAGEIF('S0 Qualified Executions'!$B$2:$B$461,A39,'S0 Qualified Executions'!$K$2:$K$461)</f>
        <v>649500</v>
      </c>
      <c r="G39" s="37">
        <f>_xlfn.STDEV.S(_xlfn._xlws.FILTER('S0 Qualified Executions'!$K$2:$K$461,'S0 Qualified Executions'!$B$2:$B$461=A39))</f>
        <v>2838.2310609877336</v>
      </c>
      <c r="H39" s="30">
        <f>AVERAGEIF('S0 Qualified Executions'!$B$2:$B$461,A39,'S0 Qualified Executions'!$L$2:$L$461)</f>
        <v>610000</v>
      </c>
      <c r="I39" s="31">
        <f t="shared" si="0"/>
        <v>6.4754098360655737E-2</v>
      </c>
      <c r="J39" s="31">
        <f t="shared" si="1"/>
        <v>4.3698707636454712E-3</v>
      </c>
      <c r="K39" s="32">
        <f t="shared" si="2"/>
        <v>6.4754098360655737E-2</v>
      </c>
      <c r="L39" s="24" t="s">
        <v>52</v>
      </c>
    </row>
    <row r="40" spans="1:12">
      <c r="A40" s="14"/>
      <c r="B40" s="14"/>
      <c r="C40" s="14"/>
      <c r="D40" s="15"/>
      <c r="E40" s="14"/>
      <c r="F40" s="18"/>
      <c r="G40" s="18"/>
      <c r="H40" s="18"/>
      <c r="I40" s="19"/>
      <c r="J40" s="19"/>
      <c r="K40" s="20"/>
      <c r="L40" s="14"/>
    </row>
    <row r="41" spans="1:12" ht="24.95" customHeight="1">
      <c r="A41" s="50" t="s">
        <v>581</v>
      </c>
      <c r="B41" s="50"/>
      <c r="C41" s="50"/>
      <c r="D41" s="51"/>
      <c r="E41" s="50"/>
      <c r="F41" s="54"/>
      <c r="G41" s="54"/>
      <c r="H41" s="54"/>
      <c r="I41" s="55"/>
      <c r="J41" s="55"/>
      <c r="K41" s="56"/>
      <c r="L41" s="50"/>
    </row>
    <row r="42" spans="1:12" ht="33.950000000000003" customHeight="1">
      <c r="A42" s="21" t="s">
        <v>16</v>
      </c>
      <c r="B42" s="21" t="s">
        <v>0</v>
      </c>
      <c r="C42" s="21" t="s">
        <v>1</v>
      </c>
      <c r="D42" s="22" t="s">
        <v>17</v>
      </c>
      <c r="E42" s="22" t="s">
        <v>18</v>
      </c>
      <c r="F42" s="22" t="s">
        <v>19</v>
      </c>
      <c r="G42" s="22" t="s">
        <v>20</v>
      </c>
      <c r="H42" s="22" t="s">
        <v>21</v>
      </c>
      <c r="I42" s="22" t="s">
        <v>22</v>
      </c>
      <c r="J42" s="22" t="s">
        <v>23</v>
      </c>
      <c r="K42" s="23" t="s">
        <v>24</v>
      </c>
      <c r="L42" s="21" t="s">
        <v>25</v>
      </c>
    </row>
    <row r="43" spans="1:12" ht="21" customHeight="1">
      <c r="A43" s="24" t="s">
        <v>73</v>
      </c>
      <c r="B43" s="24" t="s">
        <v>14</v>
      </c>
      <c r="C43" s="24" t="s">
        <v>11</v>
      </c>
      <c r="D43" s="25" t="s">
        <v>64</v>
      </c>
      <c r="E43" s="34">
        <f>COUNTIF('S0 Qualified Executions'!$B$2:$B$461,A43)</f>
        <v>10</v>
      </c>
      <c r="F43" s="30">
        <f>AVERAGEIF('S0 Qualified Executions'!$B$2:$B$461,A43,'S0 Qualified Executions'!$K$2:$K$461)</f>
        <v>648500</v>
      </c>
      <c r="G43" s="37">
        <f>_xlfn.STDEV.S(_xlfn._xlws.FILTER('S0 Qualified Executions'!$K$2:$K$461,'S0 Qualified Executions'!$B$2:$B$461=A43))</f>
        <v>9143.9111495634679</v>
      </c>
      <c r="H43" s="30">
        <f>AVERAGEIF('S0 Qualified Executions'!$B$2:$B$461,A43,'S0 Qualified Executions'!$L$2:$L$461)</f>
        <v>650000</v>
      </c>
      <c r="I43" s="31">
        <f t="shared" ref="I43:I60" si="3">ABS(F43-H43)/H43</f>
        <v>2.3076923076923079E-3</v>
      </c>
      <c r="J43" s="31">
        <f t="shared" ref="J43:J60" si="4">G43/F43</f>
        <v>1.4100094293852687E-2</v>
      </c>
      <c r="K43" s="32">
        <f t="shared" ref="K43:K60" si="5">(F43-H43)/H43</f>
        <v>-2.3076923076923079E-3</v>
      </c>
      <c r="L43" s="24" t="s">
        <v>65</v>
      </c>
    </row>
    <row r="44" spans="1:12" ht="21" customHeight="1">
      <c r="A44" s="24" t="s">
        <v>74</v>
      </c>
      <c r="B44" s="24" t="s">
        <v>14</v>
      </c>
      <c r="C44" s="24" t="s">
        <v>11</v>
      </c>
      <c r="D44" s="25" t="s">
        <v>75</v>
      </c>
      <c r="E44" s="34">
        <f>COUNTIF('S0 Qualified Executions'!$B$2:$B$461,A44)</f>
        <v>10</v>
      </c>
      <c r="F44" s="30">
        <f>AVERAGEIF('S0 Qualified Executions'!$B$2:$B$461,A44,'S0 Qualified Executions'!$K$2:$K$461)</f>
        <v>685500</v>
      </c>
      <c r="G44" s="37">
        <f>_xlfn.STDEV.S(_xlfn._xlws.FILTER('S0 Qualified Executions'!$K$2:$K$461,'S0 Qualified Executions'!$B$2:$B$461=A44))</f>
        <v>9264.6280731248644</v>
      </c>
      <c r="H44" s="30">
        <f>AVERAGEIF('S0 Qualified Executions'!$B$2:$B$461,A44,'S0 Qualified Executions'!$L$2:$L$461)</f>
        <v>670000</v>
      </c>
      <c r="I44" s="31">
        <f t="shared" si="3"/>
        <v>2.3134328358208955E-2</v>
      </c>
      <c r="J44" s="31">
        <f t="shared" si="4"/>
        <v>1.3515139421042837E-2</v>
      </c>
      <c r="K44" s="32">
        <f t="shared" si="5"/>
        <v>2.3134328358208955E-2</v>
      </c>
      <c r="L44" s="24" t="s">
        <v>76</v>
      </c>
    </row>
    <row r="45" spans="1:12" ht="21" customHeight="1">
      <c r="A45" s="24" t="s">
        <v>77</v>
      </c>
      <c r="B45" s="24" t="s">
        <v>14</v>
      </c>
      <c r="C45" s="24" t="s">
        <v>11</v>
      </c>
      <c r="D45" s="25" t="s">
        <v>78</v>
      </c>
      <c r="E45" s="34">
        <f>COUNTIF('S0 Qualified Executions'!$B$2:$B$461,A45)</f>
        <v>10</v>
      </c>
      <c r="F45" s="30">
        <f>AVERAGEIF('S0 Qualified Executions'!$B$2:$B$461,A45,'S0 Qualified Executions'!$K$2:$K$461)</f>
        <v>790000</v>
      </c>
      <c r="G45" s="37">
        <f>_xlfn.STDEV.S(_xlfn._xlws.FILTER('S0 Qualified Executions'!$K$2:$K$461,'S0 Qualified Executions'!$B$2:$B$461=A45))</f>
        <v>5270.4627669472984</v>
      </c>
      <c r="H45" s="30">
        <f>AVERAGEIF('S0 Qualified Executions'!$B$2:$B$461,A45,'S0 Qualified Executions'!$L$2:$L$461)</f>
        <v>790000</v>
      </c>
      <c r="I45" s="31">
        <f t="shared" si="3"/>
        <v>0</v>
      </c>
      <c r="J45" s="31">
        <f t="shared" si="4"/>
        <v>6.6714718568953143E-3</v>
      </c>
      <c r="K45" s="32">
        <f t="shared" si="5"/>
        <v>0</v>
      </c>
      <c r="L45" s="24" t="s">
        <v>79</v>
      </c>
    </row>
    <row r="46" spans="1:12" ht="21" customHeight="1">
      <c r="A46" s="24" t="s">
        <v>80</v>
      </c>
      <c r="B46" s="24" t="s">
        <v>14</v>
      </c>
      <c r="C46" s="24" t="s">
        <v>11</v>
      </c>
      <c r="D46" s="25" t="s">
        <v>81</v>
      </c>
      <c r="E46" s="34">
        <f>COUNTIF('S0 Qualified Executions'!$B$2:$B$461,A46)</f>
        <v>10</v>
      </c>
      <c r="F46" s="30">
        <f>AVERAGEIF('S0 Qualified Executions'!$B$2:$B$461,A46,'S0 Qualified Executions'!$K$2:$K$461)</f>
        <v>759000</v>
      </c>
      <c r="G46" s="37">
        <f>_xlfn.STDEV.S(_xlfn._xlws.FILTER('S0 Qualified Executions'!$K$2:$K$461,'S0 Qualified Executions'!$B$2:$B$461=A46))</f>
        <v>7745.9666924148341</v>
      </c>
      <c r="H46" s="30">
        <f>AVERAGEIF('S0 Qualified Executions'!$B$2:$B$461,A46,'S0 Qualified Executions'!$L$2:$L$461)</f>
        <v>749900</v>
      </c>
      <c r="I46" s="31">
        <f t="shared" si="3"/>
        <v>1.213495132684358E-2</v>
      </c>
      <c r="J46" s="31">
        <f t="shared" si="4"/>
        <v>1.0205489713326528E-2</v>
      </c>
      <c r="K46" s="32">
        <f t="shared" si="5"/>
        <v>1.213495132684358E-2</v>
      </c>
      <c r="L46" s="24" t="s">
        <v>82</v>
      </c>
    </row>
    <row r="47" spans="1:12" ht="21" customHeight="1">
      <c r="A47" s="24" t="s">
        <v>83</v>
      </c>
      <c r="B47" s="24" t="s">
        <v>14</v>
      </c>
      <c r="C47" s="24" t="s">
        <v>11</v>
      </c>
      <c r="D47" s="25" t="s">
        <v>84</v>
      </c>
      <c r="E47" s="34">
        <f>COUNTIF('S0 Qualified Executions'!$B$2:$B$461,A47)</f>
        <v>10</v>
      </c>
      <c r="F47" s="30">
        <f>AVERAGEIF('S0 Qualified Executions'!$B$2:$B$461,A47,'S0 Qualified Executions'!$K$2:$K$461)</f>
        <v>651000</v>
      </c>
      <c r="G47" s="37">
        <f>_xlfn.STDEV.S(_xlfn._xlws.FILTER('S0 Qualified Executions'!$K$2:$K$461,'S0 Qualified Executions'!$B$2:$B$461=A47))</f>
        <v>3162.2776601683795</v>
      </c>
      <c r="H47" s="30">
        <f>AVERAGEIF('S0 Qualified Executions'!$B$2:$B$461,A47,'S0 Qualified Executions'!$L$2:$L$461)</f>
        <v>635000</v>
      </c>
      <c r="I47" s="31">
        <f t="shared" si="3"/>
        <v>2.5196850393700787E-2</v>
      </c>
      <c r="J47" s="31">
        <f t="shared" si="4"/>
        <v>4.8575693704583402E-3</v>
      </c>
      <c r="K47" s="32">
        <f t="shared" si="5"/>
        <v>2.5196850393700787E-2</v>
      </c>
      <c r="L47" s="24" t="s">
        <v>85</v>
      </c>
    </row>
    <row r="48" spans="1:12" ht="21" customHeight="1">
      <c r="A48" s="24" t="s">
        <v>86</v>
      </c>
      <c r="B48" s="24" t="s">
        <v>14</v>
      </c>
      <c r="C48" s="24" t="s">
        <v>11</v>
      </c>
      <c r="D48" s="25" t="s">
        <v>87</v>
      </c>
      <c r="E48" s="34">
        <f>COUNTIF('S0 Qualified Executions'!$B$2:$B$461,A48)</f>
        <v>10</v>
      </c>
      <c r="F48" s="30">
        <f>AVERAGEIF('S0 Qualified Executions'!$B$2:$B$461,A48,'S0 Qualified Executions'!$K$2:$K$461)</f>
        <v>655000</v>
      </c>
      <c r="G48" s="37">
        <f>_xlfn.STDEV.S(_xlfn._xlws.FILTER('S0 Qualified Executions'!$K$2:$K$461,'S0 Qualified Executions'!$B$2:$B$461=A48))</f>
        <v>3333.3333333333335</v>
      </c>
      <c r="H48" s="30">
        <f>AVERAGEIF('S0 Qualified Executions'!$B$2:$B$461,A48,'S0 Qualified Executions'!$L$2:$L$461)</f>
        <v>650000</v>
      </c>
      <c r="I48" s="31">
        <f t="shared" si="3"/>
        <v>7.6923076923076927E-3</v>
      </c>
      <c r="J48" s="31">
        <f t="shared" si="4"/>
        <v>5.0890585241730284E-3</v>
      </c>
      <c r="K48" s="32">
        <f t="shared" si="5"/>
        <v>7.6923076923076927E-3</v>
      </c>
      <c r="L48" s="24" t="s">
        <v>88</v>
      </c>
    </row>
    <row r="49" spans="1:12" ht="21" customHeight="1">
      <c r="A49" s="24" t="s">
        <v>89</v>
      </c>
      <c r="B49" s="24" t="s">
        <v>14</v>
      </c>
      <c r="C49" s="24" t="s">
        <v>11</v>
      </c>
      <c r="D49" s="25" t="s">
        <v>90</v>
      </c>
      <c r="E49" s="34">
        <f>COUNTIF('S0 Qualified Executions'!$B$2:$B$461,A49)</f>
        <v>10</v>
      </c>
      <c r="F49" s="30">
        <f>AVERAGEIF('S0 Qualified Executions'!$B$2:$B$461,A49,'S0 Qualified Executions'!$K$2:$K$461)</f>
        <v>604500</v>
      </c>
      <c r="G49" s="37">
        <f>_xlfn.STDEV.S(_xlfn._xlws.FILTER('S0 Qualified Executions'!$K$2:$K$461,'S0 Qualified Executions'!$B$2:$B$461=A49))</f>
        <v>12349.08903522847</v>
      </c>
      <c r="H49" s="30">
        <f>AVERAGEIF('S0 Qualified Executions'!$B$2:$B$461,A49,'S0 Qualified Executions'!$L$2:$L$461)</f>
        <v>580000</v>
      </c>
      <c r="I49" s="31">
        <f t="shared" si="3"/>
        <v>4.2241379310344829E-2</v>
      </c>
      <c r="J49" s="31">
        <f t="shared" si="4"/>
        <v>2.0428600554554952E-2</v>
      </c>
      <c r="K49" s="32">
        <f t="shared" si="5"/>
        <v>4.2241379310344829E-2</v>
      </c>
      <c r="L49" s="24" t="s">
        <v>91</v>
      </c>
    </row>
    <row r="50" spans="1:12" ht="21" customHeight="1">
      <c r="A50" s="24" t="s">
        <v>92</v>
      </c>
      <c r="B50" s="24" t="s">
        <v>14</v>
      </c>
      <c r="C50" s="24" t="s">
        <v>11</v>
      </c>
      <c r="D50" s="25" t="s">
        <v>93</v>
      </c>
      <c r="E50" s="34">
        <f>COUNTIF('S0 Qualified Executions'!$B$2:$B$461,A50)</f>
        <v>10</v>
      </c>
      <c r="F50" s="30">
        <f>AVERAGEIF('S0 Qualified Executions'!$B$2:$B$461,A50,'S0 Qualified Executions'!$K$2:$K$461)</f>
        <v>723000</v>
      </c>
      <c r="G50" s="37">
        <f>_xlfn.STDEV.S(_xlfn._xlws.FILTER('S0 Qualified Executions'!$K$2:$K$461,'S0 Qualified Executions'!$B$2:$B$461=A50))</f>
        <v>14567.84892227477</v>
      </c>
      <c r="H50" s="30">
        <f>AVERAGEIF('S0 Qualified Executions'!$B$2:$B$461,A50,'S0 Qualified Executions'!$L$2:$L$461)</f>
        <v>725000</v>
      </c>
      <c r="I50" s="31">
        <f t="shared" si="3"/>
        <v>2.7586206896551722E-3</v>
      </c>
      <c r="J50" s="31">
        <f t="shared" si="4"/>
        <v>2.0149168633851688E-2</v>
      </c>
      <c r="K50" s="32">
        <f t="shared" si="5"/>
        <v>-2.7586206896551722E-3</v>
      </c>
      <c r="L50" s="24" t="s">
        <v>94</v>
      </c>
    </row>
    <row r="51" spans="1:12" ht="21" customHeight="1">
      <c r="A51" s="24" t="s">
        <v>95</v>
      </c>
      <c r="B51" s="24" t="s">
        <v>14</v>
      </c>
      <c r="C51" s="24" t="s">
        <v>11</v>
      </c>
      <c r="D51" s="25" t="s">
        <v>96</v>
      </c>
      <c r="E51" s="34">
        <f>COUNTIF('S0 Qualified Executions'!$B$2:$B$461,A51)</f>
        <v>10</v>
      </c>
      <c r="F51" s="30">
        <f>AVERAGEIF('S0 Qualified Executions'!$B$2:$B$461,A51,'S0 Qualified Executions'!$K$2:$K$461)</f>
        <v>605000</v>
      </c>
      <c r="G51" s="37">
        <f>_xlfn.STDEV.S(_xlfn._xlws.FILTER('S0 Qualified Executions'!$K$2:$K$461,'S0 Qualified Executions'!$B$2:$B$461=A51))</f>
        <v>8819.1710368819677</v>
      </c>
      <c r="H51" s="30">
        <f>AVERAGEIF('S0 Qualified Executions'!$B$2:$B$461,A51,'S0 Qualified Executions'!$L$2:$L$461)</f>
        <v>600000</v>
      </c>
      <c r="I51" s="31">
        <f t="shared" si="3"/>
        <v>8.3333333333333332E-3</v>
      </c>
      <c r="J51" s="31">
        <f t="shared" si="4"/>
        <v>1.457714220972226E-2</v>
      </c>
      <c r="K51" s="32">
        <f t="shared" si="5"/>
        <v>8.3333333333333332E-3</v>
      </c>
      <c r="L51" s="24" t="s">
        <v>97</v>
      </c>
    </row>
    <row r="52" spans="1:12" ht="21" customHeight="1">
      <c r="A52" s="24" t="s">
        <v>26</v>
      </c>
      <c r="B52" s="24" t="s">
        <v>10</v>
      </c>
      <c r="C52" s="24" t="s">
        <v>11</v>
      </c>
      <c r="D52" s="25" t="s">
        <v>27</v>
      </c>
      <c r="E52" s="34">
        <f>COUNTIF('S0 Qualified Executions'!$B$2:$B$461,A52)</f>
        <v>10</v>
      </c>
      <c r="F52" s="30">
        <f>AVERAGEIF('S0 Qualified Executions'!$B$2:$B$461,A52,'S0 Qualified Executions'!$K$2:$K$461)</f>
        <v>552300</v>
      </c>
      <c r="G52" s="37">
        <f>_xlfn.STDEV.S(_xlfn._xlws.FILTER('S0 Qualified Executions'!$K$2:$K$461,'S0 Qualified Executions'!$B$2:$B$461=A52))</f>
        <v>5012.2073203551972</v>
      </c>
      <c r="H52" s="30">
        <f>AVERAGEIF('S0 Qualified Executions'!$B$2:$B$461,A52,'S0 Qualified Executions'!$L$2:$L$461)</f>
        <v>518700</v>
      </c>
      <c r="I52" s="31">
        <f t="shared" si="3"/>
        <v>6.4777327935222673E-2</v>
      </c>
      <c r="J52" s="31">
        <f t="shared" si="4"/>
        <v>9.0751535765982213E-3</v>
      </c>
      <c r="K52" s="32">
        <f t="shared" si="5"/>
        <v>6.4777327935222673E-2</v>
      </c>
      <c r="L52" s="24" t="s">
        <v>28</v>
      </c>
    </row>
    <row r="53" spans="1:12" ht="21" customHeight="1">
      <c r="A53" s="24" t="s">
        <v>29</v>
      </c>
      <c r="B53" s="24" t="s">
        <v>10</v>
      </c>
      <c r="C53" s="24" t="s">
        <v>11</v>
      </c>
      <c r="D53" s="25" t="s">
        <v>30</v>
      </c>
      <c r="E53" s="34">
        <f>COUNTIF('S0 Qualified Executions'!$B$2:$B$461,A53)</f>
        <v>10</v>
      </c>
      <c r="F53" s="30">
        <f>AVERAGEIF('S0 Qualified Executions'!$B$2:$B$461,A53,'S0 Qualified Executions'!$K$2:$K$461)</f>
        <v>696400</v>
      </c>
      <c r="G53" s="37">
        <f>_xlfn.STDEV.S(_xlfn._xlws.FILTER('S0 Qualified Executions'!$K$2:$K$461,'S0 Qualified Executions'!$B$2:$B$461=A53))</f>
        <v>4033.1955899344462</v>
      </c>
      <c r="H53" s="30">
        <f>AVERAGEIF('S0 Qualified Executions'!$B$2:$B$461,A53,'S0 Qualified Executions'!$L$2:$L$461)</f>
        <v>675000</v>
      </c>
      <c r="I53" s="31">
        <f t="shared" si="3"/>
        <v>3.1703703703703706E-2</v>
      </c>
      <c r="J53" s="31">
        <f t="shared" si="4"/>
        <v>5.7914928057645693E-3</v>
      </c>
      <c r="K53" s="32">
        <f t="shared" si="5"/>
        <v>3.1703703703703706E-2</v>
      </c>
      <c r="L53" s="24" t="s">
        <v>31</v>
      </c>
    </row>
    <row r="54" spans="1:12" ht="21" customHeight="1">
      <c r="A54" s="24" t="s">
        <v>32</v>
      </c>
      <c r="B54" s="24" t="s">
        <v>10</v>
      </c>
      <c r="C54" s="24" t="s">
        <v>11</v>
      </c>
      <c r="D54" s="25" t="s">
        <v>33</v>
      </c>
      <c r="E54" s="34">
        <f>COUNTIF('S0 Qualified Executions'!$B$2:$B$461,A54)</f>
        <v>10</v>
      </c>
      <c r="F54" s="30">
        <f>AVERAGEIF('S0 Qualified Executions'!$B$2:$B$461,A54,'S0 Qualified Executions'!$K$2:$K$461)</f>
        <v>658200</v>
      </c>
      <c r="G54" s="37">
        <f>_xlfn.STDEV.S(_xlfn._xlws.FILTER('S0 Qualified Executions'!$K$2:$K$461,'S0 Qualified Executions'!$B$2:$B$461=A54))</f>
        <v>5977.7364723893052</v>
      </c>
      <c r="H54" s="30">
        <f>AVERAGEIF('S0 Qualified Executions'!$B$2:$B$461,A54,'S0 Qualified Executions'!$L$2:$L$461)</f>
        <v>620000</v>
      </c>
      <c r="I54" s="31">
        <f t="shared" si="3"/>
        <v>6.1612903225806454E-2</v>
      </c>
      <c r="J54" s="31">
        <f t="shared" si="4"/>
        <v>9.0819454153590173E-3</v>
      </c>
      <c r="K54" s="32">
        <f t="shared" si="5"/>
        <v>6.1612903225806454E-2</v>
      </c>
      <c r="L54" s="24" t="s">
        <v>34</v>
      </c>
    </row>
    <row r="55" spans="1:12" ht="21" customHeight="1">
      <c r="A55" s="24" t="s">
        <v>35</v>
      </c>
      <c r="B55" s="24" t="s">
        <v>10</v>
      </c>
      <c r="C55" s="24" t="s">
        <v>11</v>
      </c>
      <c r="D55" s="25" t="s">
        <v>36</v>
      </c>
      <c r="E55" s="34">
        <f>COUNTIF('S0 Qualified Executions'!$B$2:$B$461,A55)</f>
        <v>10</v>
      </c>
      <c r="F55" s="30">
        <f>AVERAGEIF('S0 Qualified Executions'!$B$2:$B$461,A55,'S0 Qualified Executions'!$K$2:$K$461)</f>
        <v>669000</v>
      </c>
      <c r="G55" s="37">
        <f>_xlfn.STDEV.S(_xlfn._xlws.FILTER('S0 Qualified Executions'!$K$2:$K$461,'S0 Qualified Executions'!$B$2:$B$461=A55))</f>
        <v>7378.6478737262187</v>
      </c>
      <c r="H55" s="30">
        <f>AVERAGEIF('S0 Qualified Executions'!$B$2:$B$461,A55,'S0 Qualified Executions'!$L$2:$L$461)</f>
        <v>654200</v>
      </c>
      <c r="I55" s="31">
        <f t="shared" si="3"/>
        <v>2.2623051054723325E-2</v>
      </c>
      <c r="J55" s="31">
        <f t="shared" si="4"/>
        <v>1.1029369019022748E-2</v>
      </c>
      <c r="K55" s="32">
        <f t="shared" si="5"/>
        <v>2.2623051054723325E-2</v>
      </c>
      <c r="L55" s="24" t="s">
        <v>37</v>
      </c>
    </row>
    <row r="56" spans="1:12" ht="21" customHeight="1">
      <c r="A56" s="24" t="s">
        <v>38</v>
      </c>
      <c r="B56" s="24" t="s">
        <v>10</v>
      </c>
      <c r="C56" s="24" t="s">
        <v>11</v>
      </c>
      <c r="D56" s="25" t="s">
        <v>39</v>
      </c>
      <c r="E56" s="34">
        <f>COUNTIF('S0 Qualified Executions'!$B$2:$B$461,A56)</f>
        <v>10</v>
      </c>
      <c r="F56" s="30">
        <f>AVERAGEIF('S0 Qualified Executions'!$B$2:$B$461,A56,'S0 Qualified Executions'!$K$2:$K$461)</f>
        <v>905000</v>
      </c>
      <c r="G56" s="37">
        <f>_xlfn.STDEV.S(_xlfn._xlws.FILTER('S0 Qualified Executions'!$K$2:$K$461,'S0 Qualified Executions'!$B$2:$B$461=A56))</f>
        <v>4714.045207910317</v>
      </c>
      <c r="H56" s="30">
        <f>AVERAGEIF('S0 Qualified Executions'!$B$2:$B$461,A56,'S0 Qualified Executions'!$L$2:$L$461)</f>
        <v>910000</v>
      </c>
      <c r="I56" s="31">
        <f t="shared" si="3"/>
        <v>5.4945054945054949E-3</v>
      </c>
      <c r="J56" s="31">
        <f t="shared" si="4"/>
        <v>5.2088897324975882E-3</v>
      </c>
      <c r="K56" s="32">
        <f t="shared" si="5"/>
        <v>-5.4945054945054949E-3</v>
      </c>
      <c r="L56" s="24" t="s">
        <v>40</v>
      </c>
    </row>
    <row r="57" spans="1:12" ht="21" customHeight="1">
      <c r="A57" s="24" t="s">
        <v>41</v>
      </c>
      <c r="B57" s="24" t="s">
        <v>10</v>
      </c>
      <c r="C57" s="24" t="s">
        <v>11</v>
      </c>
      <c r="D57" s="25" t="s">
        <v>42</v>
      </c>
      <c r="E57" s="34">
        <f>COUNTIF('S0 Qualified Executions'!$B$2:$B$461,A57)</f>
        <v>10</v>
      </c>
      <c r="F57" s="30">
        <f>AVERAGEIF('S0 Qualified Executions'!$B$2:$B$461,A57,'S0 Qualified Executions'!$K$2:$K$461)</f>
        <v>614500</v>
      </c>
      <c r="G57" s="37">
        <f>_xlfn.STDEV.S(_xlfn._xlws.FILTER('S0 Qualified Executions'!$K$2:$K$461,'S0 Qualified Executions'!$B$2:$B$461=A57))</f>
        <v>6433.4196885395941</v>
      </c>
      <c r="H57" s="30">
        <f>AVERAGEIF('S0 Qualified Executions'!$B$2:$B$461,A57,'S0 Qualified Executions'!$L$2:$L$461)</f>
        <v>580000</v>
      </c>
      <c r="I57" s="31">
        <f t="shared" si="3"/>
        <v>5.9482758620689656E-2</v>
      </c>
      <c r="J57" s="31">
        <f t="shared" si="4"/>
        <v>1.0469356694124644E-2</v>
      </c>
      <c r="K57" s="32">
        <f t="shared" si="5"/>
        <v>5.9482758620689656E-2</v>
      </c>
      <c r="L57" s="24" t="s">
        <v>43</v>
      </c>
    </row>
    <row r="58" spans="1:12" ht="21" customHeight="1">
      <c r="A58" s="24" t="s">
        <v>44</v>
      </c>
      <c r="B58" s="24" t="s">
        <v>10</v>
      </c>
      <c r="C58" s="24" t="s">
        <v>11</v>
      </c>
      <c r="D58" s="25" t="s">
        <v>45</v>
      </c>
      <c r="E58" s="34">
        <f>COUNTIF('S0 Qualified Executions'!$B$2:$B$461,A58)</f>
        <v>10</v>
      </c>
      <c r="F58" s="30">
        <f>AVERAGEIF('S0 Qualified Executions'!$B$2:$B$461,A58,'S0 Qualified Executions'!$K$2:$K$461)</f>
        <v>811000</v>
      </c>
      <c r="G58" s="37">
        <f>_xlfn.STDEV.S(_xlfn._xlws.FILTER('S0 Qualified Executions'!$K$2:$K$461,'S0 Qualified Executions'!$B$2:$B$461=A58))</f>
        <v>8755.9503577091309</v>
      </c>
      <c r="H58" s="30">
        <f>AVERAGEIF('S0 Qualified Executions'!$B$2:$B$461,A58,'S0 Qualified Executions'!$L$2:$L$461)</f>
        <v>815000</v>
      </c>
      <c r="I58" s="31">
        <f t="shared" si="3"/>
        <v>4.9079754601226997E-3</v>
      </c>
      <c r="J58" s="31">
        <f t="shared" si="4"/>
        <v>1.0796486261047017E-2</v>
      </c>
      <c r="K58" s="32">
        <f t="shared" si="5"/>
        <v>-4.9079754601226997E-3</v>
      </c>
      <c r="L58" s="24" t="s">
        <v>46</v>
      </c>
    </row>
    <row r="59" spans="1:12" ht="21" customHeight="1">
      <c r="A59" s="24" t="s">
        <v>47</v>
      </c>
      <c r="B59" s="24" t="s">
        <v>10</v>
      </c>
      <c r="C59" s="24" t="s">
        <v>11</v>
      </c>
      <c r="D59" s="25" t="s">
        <v>48</v>
      </c>
      <c r="E59" s="34">
        <f>COUNTIF('S0 Qualified Executions'!$B$2:$B$461,A59)</f>
        <v>10</v>
      </c>
      <c r="F59" s="30">
        <f>AVERAGEIF('S0 Qualified Executions'!$B$2:$B$461,A59,'S0 Qualified Executions'!$K$2:$K$461)</f>
        <v>865250</v>
      </c>
      <c r="G59" s="37">
        <f>_xlfn.STDEV.S(_xlfn._xlws.FILTER('S0 Qualified Executions'!$K$2:$K$461,'S0 Qualified Executions'!$B$2:$B$461=A59))</f>
        <v>4479.8933519052043</v>
      </c>
      <c r="H59" s="30">
        <f>AVERAGEIF('S0 Qualified Executions'!$B$2:$B$461,A59,'S0 Qualified Executions'!$L$2:$L$461)</f>
        <v>845000</v>
      </c>
      <c r="I59" s="31">
        <f t="shared" si="3"/>
        <v>2.3964497041420119E-2</v>
      </c>
      <c r="J59" s="31">
        <f t="shared" si="4"/>
        <v>5.1775710510317298E-3</v>
      </c>
      <c r="K59" s="32">
        <f t="shared" si="5"/>
        <v>2.3964497041420119E-2</v>
      </c>
      <c r="L59" s="24" t="s">
        <v>49</v>
      </c>
    </row>
    <row r="60" spans="1:12" ht="21" customHeight="1">
      <c r="A60" s="24" t="s">
        <v>50</v>
      </c>
      <c r="B60" s="24" t="s">
        <v>10</v>
      </c>
      <c r="C60" s="24" t="s">
        <v>11</v>
      </c>
      <c r="D60" s="25" t="s">
        <v>51</v>
      </c>
      <c r="E60" s="34">
        <f>COUNTIF('S0 Qualified Executions'!$B$2:$B$461,A60)</f>
        <v>10</v>
      </c>
      <c r="F60" s="30">
        <f>AVERAGEIF('S0 Qualified Executions'!$B$2:$B$461,A60,'S0 Qualified Executions'!$K$2:$K$461)</f>
        <v>658000</v>
      </c>
      <c r="G60" s="37">
        <f>_xlfn.STDEV.S(_xlfn._xlws.FILTER('S0 Qualified Executions'!$K$2:$K$461,'S0 Qualified Executions'!$B$2:$B$461=A60))</f>
        <v>10055.402085998903</v>
      </c>
      <c r="H60" s="30">
        <f>AVERAGEIF('S0 Qualified Executions'!$B$2:$B$461,A60,'S0 Qualified Executions'!$L$2:$L$461)</f>
        <v>610000</v>
      </c>
      <c r="I60" s="31">
        <f t="shared" si="3"/>
        <v>7.8688524590163941E-2</v>
      </c>
      <c r="J60" s="31">
        <f t="shared" si="4"/>
        <v>1.528176608814423E-2</v>
      </c>
      <c r="K60" s="32">
        <f t="shared" si="5"/>
        <v>7.8688524590163941E-2</v>
      </c>
      <c r="L60" s="24" t="s">
        <v>52</v>
      </c>
    </row>
    <row r="61" spans="1:12">
      <c r="A61" s="14"/>
      <c r="B61" s="14"/>
      <c r="C61" s="14"/>
      <c r="D61" s="15"/>
      <c r="E61" s="14"/>
      <c r="F61" s="14"/>
      <c r="G61" s="14"/>
      <c r="H61" s="14"/>
      <c r="I61" s="14"/>
      <c r="J61" s="14"/>
      <c r="K61" s="17"/>
      <c r="L61" s="14"/>
    </row>
    <row r="62" spans="1:12">
      <c r="A62" s="14"/>
      <c r="B62" s="14"/>
      <c r="C62" s="14"/>
      <c r="D62" s="15"/>
      <c r="E62" s="14"/>
      <c r="F62" s="14"/>
      <c r="G62" s="14"/>
      <c r="H62" s="14"/>
      <c r="I62" s="14"/>
      <c r="J62" s="14"/>
      <c r="K62" s="17"/>
      <c r="L62" s="14"/>
    </row>
    <row r="63" spans="1:12" ht="24.95" customHeight="1">
      <c r="A63" s="50" t="s">
        <v>582</v>
      </c>
      <c r="B63" s="50"/>
      <c r="C63" s="50"/>
      <c r="D63" s="51"/>
      <c r="E63" s="50"/>
      <c r="F63" s="50"/>
      <c r="G63" s="50"/>
      <c r="H63" s="50"/>
      <c r="I63" s="50"/>
      <c r="J63" s="50"/>
      <c r="K63" s="53"/>
      <c r="L63" s="50"/>
    </row>
    <row r="64" spans="1:12" ht="33.950000000000003" customHeight="1">
      <c r="A64" s="21" t="s">
        <v>0</v>
      </c>
      <c r="B64" s="21" t="s">
        <v>1</v>
      </c>
      <c r="C64" s="22" t="s">
        <v>2</v>
      </c>
      <c r="D64" s="22" t="s">
        <v>3</v>
      </c>
      <c r="E64" s="22" t="s">
        <v>4</v>
      </c>
      <c r="F64" s="22" t="s">
        <v>5</v>
      </c>
      <c r="G64" s="22" t="s">
        <v>6</v>
      </c>
      <c r="H64" s="22" t="s">
        <v>7</v>
      </c>
      <c r="I64" s="22" t="s">
        <v>8</v>
      </c>
      <c r="J64" s="22" t="s">
        <v>9</v>
      </c>
      <c r="K64" s="17"/>
      <c r="L64" s="14"/>
    </row>
    <row r="65" spans="1:12" ht="21" customHeight="1">
      <c r="A65" s="24" t="s">
        <v>14</v>
      </c>
      <c r="B65" s="24" t="s">
        <v>11</v>
      </c>
      <c r="C65" s="34">
        <f>COUNTIFS($B$43:$B$60,$A65,$C$43:$C$60,$B65)</f>
        <v>9</v>
      </c>
      <c r="D65" s="26">
        <f>AVERAGE(I43:I51)</f>
        <v>1.3755495934676294E-2</v>
      </c>
      <c r="E65" s="31">
        <f>MEDIAN(I43:I51)</f>
        <v>8.3333333333333332E-3</v>
      </c>
      <c r="F65" s="31">
        <f>MAX(I43:I51)</f>
        <v>4.2241379310344829E-2</v>
      </c>
      <c r="G65" s="34">
        <f>COUNTIF(I43:I51,"&lt;=0.05")</f>
        <v>9</v>
      </c>
      <c r="H65" s="31">
        <f>AVERAGE(J43:J51)</f>
        <v>1.2177081619764182E-2</v>
      </c>
      <c r="I65" s="31">
        <f>AVERAGE(K43:K51)</f>
        <v>1.262964860193241E-2</v>
      </c>
      <c r="J65" s="34">
        <f>SUMIFS($E$43:$E$60,$B$43:$B$60,$A65,$C$43:$C$60,$B65)</f>
        <v>90</v>
      </c>
      <c r="K65" s="27"/>
      <c r="L65" s="24"/>
    </row>
    <row r="66" spans="1:12" ht="21" customHeight="1">
      <c r="A66" s="24" t="s">
        <v>10</v>
      </c>
      <c r="B66" s="24" t="s">
        <v>11</v>
      </c>
      <c r="C66" s="34">
        <f>COUNTIFS($B$43:$B$60,$A66,$C$43:$C$60,$B66)</f>
        <v>9</v>
      </c>
      <c r="D66" s="26">
        <f>AVERAGE(I52:I60)</f>
        <v>3.9250583014039789E-2</v>
      </c>
      <c r="E66" s="31">
        <f>MEDIAN(I52:I60)</f>
        <v>3.1703703703703706E-2</v>
      </c>
      <c r="F66" s="31">
        <f>MAX(I52:I60)</f>
        <v>7.8688524590163941E-2</v>
      </c>
      <c r="G66" s="34">
        <f>COUNTIF(I52:I60,"&lt;=0.05")</f>
        <v>5</v>
      </c>
      <c r="H66" s="31">
        <f>AVERAGE(J52:J60)</f>
        <v>9.1013367381766411E-3</v>
      </c>
      <c r="I66" s="31">
        <f>AVERAGE(K52:K60)</f>
        <v>3.6938920579677965E-2</v>
      </c>
      <c r="J66" s="34">
        <f>SUMIFS($E$43:$E$60,$B$43:$B$60,$A66,$C$43:$C$60,$B66)</f>
        <v>90</v>
      </c>
      <c r="K66" s="27"/>
      <c r="L66" s="24"/>
    </row>
  </sheetData>
  <mergeCells count="3">
    <mergeCell ref="A10:L10"/>
    <mergeCell ref="A41:L41"/>
    <mergeCell ref="A63:L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S0 Qualified Executions</vt:lpstr>
      <vt:lpstr>S0 Qualified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Fitzburgh</dc:creator>
  <cp:lastModifiedBy>Alexander Fitzburgh</cp:lastModifiedBy>
  <cp:lastPrinted>2026-10-19T16:16:28Z</cp:lastPrinted>
  <dcterms:created xsi:type="dcterms:W3CDTF">2026-10-18T15:19:07Z</dcterms:created>
  <dcterms:modified xsi:type="dcterms:W3CDTF">2026-10-29T23:17:09Z</dcterms:modified>
</cp:coreProperties>
</file>